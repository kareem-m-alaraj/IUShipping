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1.xml" ContentType="application/vnd.ms-office.chartstyle+xml"/>
  <Override PartName="/xl/charts/colors1.xml" ContentType="application/vnd.ms-office.chartcolorstyle+xml"/>
  <Override PartName="/xl/webextensions/taskpanes.xml" ContentType="application/vnd.ms-office.webextensiontaskpanes+xml"/>
  <Override PartName="/xl/webextensions/webextension1.xml" ContentType="application/vnd.ms-office.webextension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10.xml" ContentType="application/vnd.openxmlformats-officedocument.spreadsheetml.table+xml"/>
  <Override PartName="/xl/tables/table9.xml" ContentType="application/vnd.openxmlformats-officedocument.spreadsheetml.table+xml"/>
  <Override PartName="/xl/ctrlProps/ctrlProp3.xml" ContentType="application/vnd.ms-excel.controlproperties+xml"/>
  <Override PartName="/xl/calcChain.xml" ContentType="application/vnd.openxmlformats-officedocument.spreadsheetml.calcChain+xml"/>
  <Override PartName="/xl/ctrlProps/ctrlProp1.xml" ContentType="application/vnd.ms-excel.controlproperties+xml"/>
  <Override PartName="/xl/tables/table8.xml" ContentType="application/vnd.openxmlformats-officedocument.spreadsheetml.table+xml"/>
  <Override PartName="/xl/ctrlProps/ctrlProp2.xml" ContentType="application/vnd.ms-excel.controlproperties+xml"/>
  <Override PartName="/docProps/core.xml" ContentType="application/vnd.openxmlformats-package.core-properties+xml"/>
  <Override PartName="/xl/tables/table11.xml" ContentType="application/vnd.openxmlformats-officedocument.spreadsheetml.table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orisnik\Desktop\"/>
    </mc:Choice>
  </mc:AlternateContent>
  <xr:revisionPtr revIDLastSave="0" documentId="13_ncr:1_{278965D2-D799-4E09-8D03-1B87E5176EB5}" xr6:coauthVersionLast="47" xr6:coauthVersionMax="47" xr10:uidLastSave="{00000000-0000-0000-0000-000000000000}"/>
  <bookViews>
    <workbookView xWindow="-108" yWindow="-108" windowWidth="23256" windowHeight="12456" xr2:uid="{36067138-55BE-4B2E-A4E6-6930E0F474D7}"/>
  </bookViews>
  <sheets>
    <sheet name="README" sheetId="1" r:id="rId1"/>
    <sheet name="DATA" sheetId="2" r:id="rId2"/>
    <sheet name="MODEL" sheetId="3" r:id="rId3"/>
    <sheet name="INTERFACE" sheetId="4" r:id="rId4"/>
    <sheet name="SCENARIOS" sheetId="5" r:id="rId5"/>
    <sheet name="RESULTS" sheetId="6" r:id="rId6"/>
  </sheets>
  <functionGroups builtInGroupCount="19"/>
  <definedNames>
    <definedName name="FE">DATA!$C$7</definedName>
    <definedName name="FL">DATA!$C$6</definedName>
    <definedName name="M">DATA!$C$11</definedName>
    <definedName name="O">DATA!$C$10</definedName>
    <definedName name="Pf">DATA!$C$5</definedName>
    <definedName name="Q">DATA!$C$9</definedName>
    <definedName name="solver_adj" localSheetId="2" hidden="1">MODEL!$B$12:$G$15</definedName>
    <definedName name="solver_cvg" localSheetId="2" hidden="1">0.0001</definedName>
    <definedName name="solver_drv" localSheetId="2" hidden="1">2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MODEL!$H$12:$H$15</definedName>
    <definedName name="solver_lhs2" localSheetId="2" hidden="1">MODEL!$B$16:$G$16</definedName>
    <definedName name="solver_lhs3" localSheetId="2" hidden="1">MODEL!$B$12:$G$15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3</definedName>
    <definedName name="solver_nwt" localSheetId="2" hidden="1">1</definedName>
    <definedName name="solver_opt" localSheetId="2" hidden="1">MODEL!$B$20</definedName>
    <definedName name="solver_pre" localSheetId="2" hidden="1">0.000001</definedName>
    <definedName name="solver_rbv" localSheetId="2" hidden="1">2</definedName>
    <definedName name="solver_rel1" localSheetId="2" hidden="1">1</definedName>
    <definedName name="solver_rel2" localSheetId="2" hidden="1">2</definedName>
    <definedName name="solver_rel3" localSheetId="2" hidden="1">3</definedName>
    <definedName name="solver_rhs1" localSheetId="2" hidden="1">MODEL!I12:I15</definedName>
    <definedName name="solver_rhs2" localSheetId="2" hidden="1">MODEL!B17:G17</definedName>
    <definedName name="solver_rhs3" localSheetId="2" hidden="1">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W">DATA!$C$8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0" i="4" l="1"/>
  <c r="C14" i="4"/>
  <c r="D15" i="5"/>
  <c r="C15" i="5"/>
  <c r="D9" i="5"/>
  <c r="C9" i="5"/>
  <c r="B15" i="5"/>
  <c r="B9" i="5"/>
  <c r="B8" i="3"/>
  <c r="C8" i="3"/>
  <c r="D8" i="3"/>
  <c r="E8" i="3"/>
  <c r="F8" i="3"/>
  <c r="F32" i="3"/>
  <c r="F23" i="6" s="1"/>
  <c r="E32" i="3"/>
  <c r="E23" i="6" s="1"/>
  <c r="D32" i="3"/>
  <c r="D23" i="6" s="1"/>
  <c r="C32" i="3"/>
  <c r="C23" i="6" s="1"/>
  <c r="B32" i="3"/>
  <c r="B23" i="6" s="1"/>
  <c r="F31" i="3"/>
  <c r="F22" i="6" s="1"/>
  <c r="E31" i="3"/>
  <c r="E22" i="6" s="1"/>
  <c r="D31" i="3"/>
  <c r="D22" i="6" s="1"/>
  <c r="C31" i="3"/>
  <c r="C22" i="6" s="1"/>
  <c r="B31" i="3"/>
  <c r="B22" i="6" s="1"/>
  <c r="F30" i="3"/>
  <c r="F21" i="6" s="1"/>
  <c r="E30" i="3"/>
  <c r="E21" i="6" s="1"/>
  <c r="D30" i="3"/>
  <c r="D21" i="6" s="1"/>
  <c r="C30" i="3"/>
  <c r="C21" i="6" s="1"/>
  <c r="B30" i="3"/>
  <c r="B21" i="6" s="1"/>
  <c r="D16" i="5" l="1"/>
  <c r="C21" i="4"/>
  <c r="E33" i="3"/>
  <c r="E24" i="6" s="1"/>
  <c r="F33" i="3"/>
  <c r="F24" i="6" s="1"/>
  <c r="B16" i="5"/>
  <c r="C33" i="3"/>
  <c r="C24" i="6" s="1"/>
  <c r="D33" i="3"/>
  <c r="D24" i="6" s="1"/>
  <c r="G32" i="3"/>
  <c r="G23" i="6" s="1"/>
  <c r="C16" i="5"/>
  <c r="B33" i="3"/>
  <c r="G30" i="3"/>
  <c r="G21" i="6" s="1"/>
  <c r="B35" i="3"/>
  <c r="G31" i="3"/>
  <c r="G22" i="6" s="1"/>
  <c r="G33" i="3" l="1"/>
  <c r="B24" i="6"/>
  <c r="I29" i="2"/>
  <c r="I23" i="2" s="1"/>
  <c r="C5" i="3" s="1"/>
  <c r="I13" i="3"/>
  <c r="I14" i="3"/>
  <c r="I12" i="3"/>
  <c r="F16" i="6"/>
  <c r="F30" i="6" s="1"/>
  <c r="E16" i="6"/>
  <c r="E30" i="6" s="1"/>
  <c r="D16" i="6"/>
  <c r="D30" i="6" s="1"/>
  <c r="C16" i="6"/>
  <c r="C30" i="6" s="1"/>
  <c r="B16" i="6"/>
  <c r="F15" i="6"/>
  <c r="F29" i="6" s="1"/>
  <c r="E15" i="6"/>
  <c r="D15" i="6"/>
  <c r="D29" i="6" s="1"/>
  <c r="C15" i="6"/>
  <c r="C29" i="6" s="1"/>
  <c r="B15" i="6"/>
  <c r="B29" i="6" s="1"/>
  <c r="F14" i="6"/>
  <c r="E14" i="6"/>
  <c r="D14" i="6"/>
  <c r="D28" i="6" s="1"/>
  <c r="C14" i="6"/>
  <c r="B14" i="6"/>
  <c r="B10" i="6"/>
  <c r="F19" i="4" s="1"/>
  <c r="B9" i="6"/>
  <c r="F18" i="4" s="1"/>
  <c r="B5" i="6"/>
  <c r="F14" i="4" s="1"/>
  <c r="B24" i="3"/>
  <c r="B23" i="3"/>
  <c r="G17" i="3"/>
  <c r="F17" i="3"/>
  <c r="E17" i="3"/>
  <c r="D17" i="3"/>
  <c r="C17" i="3"/>
  <c r="B17" i="3"/>
  <c r="G16" i="3"/>
  <c r="F16" i="3"/>
  <c r="E16" i="3"/>
  <c r="D16" i="3"/>
  <c r="C16" i="3"/>
  <c r="B16" i="3"/>
  <c r="H15" i="3"/>
  <c r="H14" i="3"/>
  <c r="H13" i="3"/>
  <c r="H12" i="3"/>
  <c r="O16" i="2"/>
  <c r="O8" i="2"/>
  <c r="L13" i="2"/>
  <c r="L31" i="2" s="1"/>
  <c r="L25" i="2" s="1"/>
  <c r="F7" i="3" s="1"/>
  <c r="K13" i="2"/>
  <c r="K31" i="2" s="1"/>
  <c r="K25" i="2" s="1"/>
  <c r="E7" i="3" s="1"/>
  <c r="J13" i="2"/>
  <c r="J31" i="2" s="1"/>
  <c r="J25" i="2" s="1"/>
  <c r="D7" i="3" s="1"/>
  <c r="I13" i="2"/>
  <c r="I31" i="2" s="1"/>
  <c r="I25" i="2" s="1"/>
  <c r="C7" i="3" s="1"/>
  <c r="H13" i="2"/>
  <c r="H31" i="2" s="1"/>
  <c r="H25" i="2" s="1"/>
  <c r="B7" i="3" s="1"/>
  <c r="L12" i="2"/>
  <c r="L30" i="2" s="1"/>
  <c r="L24" i="2" s="1"/>
  <c r="F6" i="3" s="1"/>
  <c r="K12" i="2"/>
  <c r="K30" i="2" s="1"/>
  <c r="K24" i="2" s="1"/>
  <c r="E6" i="3" s="1"/>
  <c r="J12" i="2"/>
  <c r="J30" i="2" s="1"/>
  <c r="J24" i="2" s="1"/>
  <c r="D6" i="3" s="1"/>
  <c r="I12" i="2"/>
  <c r="I30" i="2" s="1"/>
  <c r="I24" i="2" s="1"/>
  <c r="C6" i="3" s="1"/>
  <c r="H12" i="2"/>
  <c r="H30" i="2" s="1"/>
  <c r="H24" i="2" s="1"/>
  <c r="B6" i="3" s="1"/>
  <c r="L11" i="2"/>
  <c r="L29" i="2" s="1"/>
  <c r="L23" i="2" s="1"/>
  <c r="F5" i="3" s="1"/>
  <c r="K11" i="2"/>
  <c r="K29" i="2" s="1"/>
  <c r="K23" i="2" s="1"/>
  <c r="E5" i="3" s="1"/>
  <c r="J11" i="2"/>
  <c r="J29" i="2" s="1"/>
  <c r="J23" i="2" s="1"/>
  <c r="D5" i="3" s="1"/>
  <c r="H11" i="2"/>
  <c r="H29" i="2" s="1"/>
  <c r="H23" i="2" s="1"/>
  <c r="B5" i="3" s="1"/>
  <c r="G24" i="6" l="1"/>
  <c r="B7" i="6"/>
  <c r="F16" i="4" s="1"/>
  <c r="B34" i="6"/>
  <c r="B33" i="6"/>
  <c r="B36" i="3"/>
  <c r="B40" i="6" s="1"/>
  <c r="F20" i="4" s="1"/>
  <c r="B35" i="6"/>
  <c r="B26" i="3"/>
  <c r="B20" i="3"/>
  <c r="B4" i="6" s="1"/>
  <c r="B25" i="3"/>
  <c r="G14" i="6"/>
  <c r="B17" i="6"/>
  <c r="C17" i="6"/>
  <c r="E17" i="6"/>
  <c r="B28" i="6"/>
  <c r="D17" i="6"/>
  <c r="F17" i="6"/>
  <c r="G15" i="6"/>
  <c r="C28" i="6"/>
  <c r="E28" i="6"/>
  <c r="B30" i="6"/>
  <c r="F28" i="6"/>
  <c r="G16" i="6"/>
  <c r="B36" i="6" l="1"/>
  <c r="B8" i="6"/>
  <c r="F17" i="4" s="1"/>
  <c r="B39" i="6"/>
  <c r="B41" i="6" s="1"/>
  <c r="B42" i="6" s="1"/>
  <c r="F21" i="4" s="1"/>
  <c r="G17" i="6"/>
  <c r="E29" i="6"/>
  <c r="B6" i="6" l="1"/>
  <c r="F15" i="4" s="1"/>
  <c r="F13" i="4"/>
  <c r="E15" i="5"/>
  <c r="E9" i="5"/>
  <c r="E16" i="5" l="1"/>
</calcChain>
</file>

<file path=xl/sharedStrings.xml><?xml version="1.0" encoding="utf-8"?>
<sst xmlns="http://schemas.openxmlformats.org/spreadsheetml/2006/main" count="291" uniqueCount="162">
  <si>
    <t>IUSHIPPING - DATA SHEET</t>
  </si>
  <si>
    <t>1. PARAMETERS</t>
  </si>
  <si>
    <t>Parameter</t>
  </si>
  <si>
    <t>Symbol</t>
  </si>
  <si>
    <t>Value</t>
  </si>
  <si>
    <t>Unit</t>
  </si>
  <si>
    <t>Source</t>
  </si>
  <si>
    <t>Diesel price</t>
  </si>
  <si>
    <t>Pf</t>
  </si>
  <si>
    <t>GlobalPetrolPrices.com, Mar 2026</t>
  </si>
  <si>
    <t>BAM/L</t>
  </si>
  <si>
    <t>Fuel cons. loaded</t>
  </si>
  <si>
    <t>FL</t>
  </si>
  <si>
    <t>L/km</t>
  </si>
  <si>
    <t>Euro 6 truck benchmark</t>
  </si>
  <si>
    <t>Fuel cons. empty</t>
  </si>
  <si>
    <t>FE</t>
  </si>
  <si>
    <t>~25% less than loaded</t>
  </si>
  <si>
    <t>Driver wage (employer)</t>
  </si>
  <si>
    <t>W</t>
  </si>
  <si>
    <t>BAM/h</t>
  </si>
  <si>
    <t>Adorio.ba × 1.65</t>
  </si>
  <si>
    <t>Truck capacity</t>
  </si>
  <si>
    <t>Q</t>
  </si>
  <si>
    <t>tons</t>
  </si>
  <si>
    <t>Standard 5-axle truck</t>
  </si>
  <si>
    <t>Overhead per ton</t>
  </si>
  <si>
    <t>O</t>
  </si>
  <si>
    <t>BAM/ton</t>
  </si>
  <si>
    <t>Maintenance, insurance, depreciation</t>
  </si>
  <si>
    <t>Penalty (large M)</t>
  </si>
  <si>
    <t>M</t>
  </si>
  <si>
    <t>For dummy source</t>
  </si>
  <si>
    <t>2. DISTANCE MATRIX D_ij (km, one-way)</t>
  </si>
  <si>
    <t>From ↓ / To →</t>
  </si>
  <si>
    <t>Tuzla</t>
  </si>
  <si>
    <t>Zenica</t>
  </si>
  <si>
    <t>Bihać</t>
  </si>
  <si>
    <t>Brčko</t>
  </si>
  <si>
    <t>Trebinje</t>
  </si>
  <si>
    <t>Sarajevo</t>
  </si>
  <si>
    <t>Mostar</t>
  </si>
  <si>
    <t>Banja Luka</t>
  </si>
  <si>
    <t>3. TIME MATRIX T_ij (hours, one-way)</t>
  </si>
  <si>
    <t>4. TOLL MATRIX Toll_ij (BAM one-way, Klasa IV)</t>
  </si>
  <si>
    <t>5. UNIT COST MATRIX c_ij (BAM/ton)</t>
  </si>
  <si>
    <t>6. Supply (tons/week)</t>
  </si>
  <si>
    <t>Total</t>
  </si>
  <si>
    <t>7. Demand (tons/week)</t>
  </si>
  <si>
    <t>Distribution Centre</t>
  </si>
  <si>
    <t>Supply</t>
  </si>
  <si>
    <t>Warehouse</t>
  </si>
  <si>
    <t>Demand</t>
  </si>
  <si>
    <t>IUSHIPPING - MODEL SHEET</t>
  </si>
  <si>
    <t>1. COST MATRIX c_ij (BAM/ton) — pulled from DATA + dummies</t>
  </si>
  <si>
    <t>Dummy</t>
  </si>
  <si>
    <t>2. DECISION VARIABLES x_ij (tons) — Solver changes these</t>
  </si>
  <si>
    <t>SUPPLY</t>
  </si>
  <si>
    <t>DEMAND</t>
  </si>
  <si>
    <t>3. OBJECTIVE — Total Transportation Cost (BAM)</t>
  </si>
  <si>
    <t>Z =</t>
  </si>
  <si>
    <t>4. BALANCE INDICATORS</t>
  </si>
  <si>
    <t>Total supply (real)</t>
  </si>
  <si>
    <t>Total demand (real)</t>
  </si>
  <si>
    <t>Dummy source supply</t>
  </si>
  <si>
    <t>Dummy dest demand</t>
  </si>
  <si>
    <t>tons (added to supply if demand &gt; supply)</t>
  </si>
  <si>
    <t>tons (added to demand if supply &gt; demand)</t>
  </si>
  <si>
    <t>S_SUM</t>
  </si>
  <si>
    <t>D_SUM</t>
  </si>
  <si>
    <t>IUSHIPPING - RESULTS SHEET</t>
  </si>
  <si>
    <t>1. KPI SUMMARY</t>
  </si>
  <si>
    <t>Total Transportation Cost (BAM)</t>
  </si>
  <si>
    <t>Total Tons Shipped</t>
  </si>
  <si>
    <t>Average Cost per Ton (BAM/ton)</t>
  </si>
  <si>
    <t>Total Trucks Dispatched</t>
  </si>
  <si>
    <t>Overall Truck Load Factor (%)</t>
  </si>
  <si>
    <t>Unmet Demand (tons)</t>
  </si>
  <si>
    <t>Excess Supply (tons)</t>
  </si>
  <si>
    <t>2. OPTIMAL SHIPMENT PLAN x_ij (tons)</t>
  </si>
  <si>
    <t>Row total</t>
  </si>
  <si>
    <t>Col total</t>
  </si>
  <si>
    <t>3. TRUCKS DISPATCHED PER LANE (CEILING of x_ij / 24)</t>
  </si>
  <si>
    <t>5. COST BREAKDOWN BY SOURCE (BAM)</t>
  </si>
  <si>
    <t>Sarajevo total cost</t>
  </si>
  <si>
    <t>Mostar total cost</t>
  </si>
  <si>
    <t>Banja Luka total cost</t>
  </si>
  <si>
    <t>TOTAL</t>
  </si>
  <si>
    <t>4. AVERAGE TRUCK LOAD FACTOR PER LANE (%)</t>
  </si>
  <si>
    <t>Column1</t>
  </si>
  <si>
    <t>6. FIXED-COST-per-TRIP MATRIX</t>
  </si>
  <si>
    <t>5. TRUCKS &amp; TRUE OPERATING COST (derived from optimal plan, not optimized)</t>
  </si>
  <si>
    <t>Trucks/Lane</t>
  </si>
  <si>
    <t>Total trucks dispatched</t>
  </si>
  <si>
    <t>trucks</t>
  </si>
  <si>
    <t>True operating cost (BAM)</t>
  </si>
  <si>
    <t>trucks x fixed-trip cost + tons x overhead</t>
  </si>
  <si>
    <t>6. COST RECONCILIATION (LP vs ACTUAL)</t>
  </si>
  <si>
    <t>LP optimum (Solver Z*)</t>
  </si>
  <si>
    <t>True operating cost (integer trucks)</t>
  </si>
  <si>
    <t>Inefficiency gap (BAM)</t>
  </si>
  <si>
    <t>Inefficiency gap (%)</t>
  </si>
  <si>
    <t>D_total</t>
  </si>
  <si>
    <t>S_total</t>
  </si>
  <si>
    <t>IUSHIPPING - SCENARIOS SHEET</t>
  </si>
  <si>
    <t>1. SCENARIO DEFINITIONS</t>
  </si>
  <si>
    <t>Normal</t>
  </si>
  <si>
    <t>Busy Season</t>
  </si>
  <si>
    <t>Fuel Spike</t>
  </si>
  <si>
    <t>Diesel price Pf (BAM/L)</t>
  </si>
  <si>
    <t>Supply Sarajevo</t>
  </si>
  <si>
    <t>Supply Mostar</t>
  </si>
  <si>
    <t>Supply Banja Luka</t>
  </si>
  <si>
    <t>Total supply</t>
  </si>
  <si>
    <t>Demand Tuzla</t>
  </si>
  <si>
    <t>Demand Zenica</t>
  </si>
  <si>
    <t>Demand Bihać</t>
  </si>
  <si>
    <t>Demand Brčko</t>
  </si>
  <si>
    <t>Demand Trebinje</t>
  </si>
  <si>
    <t>Total demand</t>
  </si>
  <si>
    <t>Feasibility (supply−demand)</t>
  </si>
  <si>
    <t>2. SCENARIO RESULTS (run Solver once per scenario, then record here)</t>
  </si>
  <si>
    <t>Metric</t>
  </si>
  <si>
    <t>Total cost Z* (BAM/week)</t>
  </si>
  <si>
    <t>Cost per ton (BAM)</t>
  </si>
  <si>
    <t>Trucks dispatched</t>
  </si>
  <si>
    <t>Unmet demand (tons)</t>
  </si>
  <si>
    <t>Notes</t>
  </si>
  <si>
    <t>IUSHIPPING - MANAGER DASHBOARD</t>
  </si>
  <si>
    <t>Active scenario:</t>
  </si>
  <si>
    <t>A Run Solver macro will copy these into DATA, then optimize.</t>
  </si>
  <si>
    <t>Truck Load Factor (%)</t>
  </si>
  <si>
    <t>True Operating Cost (BAM)</t>
  </si>
  <si>
    <t>Inefficiency Gap (%)</t>
  </si>
  <si>
    <t>A. INPUTS (edit, then Run Solver)</t>
  </si>
  <si>
    <t>Click the button to choose a scenario:</t>
  </si>
  <si>
    <t>B. KPI DASHBOARD</t>
  </si>
  <si>
    <t>-</t>
  </si>
  <si>
    <t>The closer the trucks to be filled by 100%, the lower the avg. cost per ton is.</t>
  </si>
  <si>
    <t>IUSHIPPING — TRANSPORTATION OPTIMIZATION</t>
  </si>
  <si>
    <t>Decision-support tool for weekly logistics planning in Bosnia &amp; Herzegovina  |  IE303 Operations Research I, Spring 2026</t>
  </si>
  <si>
    <t>HOW TO USE  (WORKFLOW)</t>
  </si>
  <si>
    <t>Pick a scenario on INTERFACE (Load button) or edit the inputs directly.</t>
  </si>
  <si>
    <t>A button macro copies the inputs into DATA’s anchor cells (Pf, supply, demand).</t>
  </si>
  <si>
    <t>RESULTS recalculates; the INTERFACE KPI dashboard updates automatically and a summary pop-up appears.</t>
  </si>
  <si>
    <t>Record each scenario’s outcome in the SCENARIOS comparison table.</t>
  </si>
  <si>
    <t>KEY INSIGHT</t>
  </si>
  <si>
    <t>Cost per ton falls as the average truck load factor approaches 100% — fuller trucks are cheaper</t>
  </si>
  <si>
    <t>per ton. RESULTS quantifies the gap between the continuous LP optimum and the true integer-truck</t>
  </si>
  <si>
    <t>operating cost, presented as an honest, documented limitation of the model.</t>
  </si>
  <si>
    <t>SUBMISSION INFORMATION</t>
  </si>
  <si>
    <t>Student name</t>
  </si>
  <si>
    <t>Student ID</t>
  </si>
  <si>
    <t>Instructor</t>
  </si>
  <si>
    <t>Combined Stress</t>
  </si>
  <si>
    <t>Abdalkarim Alaraj</t>
  </si>
  <si>
    <t xml:space="preserve">Prof. Ozge Buyukdagli </t>
  </si>
  <si>
    <t>Busy Season raises supply too, so total supply ≥ demand and Z* stays a real cost.</t>
  </si>
  <si>
    <t>Driver wage W (BAM/h)</t>
  </si>
  <si>
    <t>Truck capacity Q (tons)</t>
  </si>
  <si>
    <t>Reset button — restores every parameter to the Normal baseline (diesel, supply, demand, driver wage 15 BAM/h, truck capacity 24 t) and automatically re-runs the optimization.</t>
  </si>
  <si>
    <t>Press Run Solver — MODEL is optimized to minimize total cost subject to supply (&lt;=) and demand (=) constraints.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</si>
</sst>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#,##0;;\-"/>
    <numFmt numFmtId="166" formatCode="0.0%;;\-"/>
  </numFmts>
  <fonts count="37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b/>
      <sz val="14"/>
      <name val="Aptos Narrow"/>
      <family val="2"/>
      <scheme val="minor"/>
    </font>
    <font>
      <b/>
      <sz val="16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000000"/>
      <name val="Aptos Narrow"/>
      <family val="2"/>
      <scheme val="minor"/>
    </font>
    <font>
      <b/>
      <sz val="14"/>
      <color rgb="FF0E284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1"/>
      <color rgb="FF888888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11"/>
      <name val="Aptos Narrow"/>
      <family val="2"/>
      <scheme val="minor"/>
    </font>
    <font>
      <b/>
      <sz val="14"/>
      <color rgb="FF0E2841"/>
      <name val="Aptos Narrow"/>
      <family val="2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b/>
      <sz val="14"/>
      <color rgb="FFFFFFFF"/>
      <name val="Aptos Narrow"/>
      <family val="2"/>
    </font>
    <font>
      <b/>
      <i/>
      <sz val="11"/>
      <color rgb="FF000000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sz val="12"/>
      <color rgb="FF0000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i/>
      <sz val="12"/>
      <color rgb="FF000000"/>
      <name val="Aptos Narrow"/>
      <family val="2"/>
      <scheme val="minor"/>
    </font>
    <font>
      <i/>
      <sz val="14"/>
      <color rgb="FF000000"/>
      <name val="Aptos Narrow"/>
      <family val="2"/>
    </font>
    <font>
      <b/>
      <sz val="18"/>
      <color rgb="FF000000"/>
      <name val="Aptos Narrow"/>
      <family val="2"/>
    </font>
    <font>
      <b/>
      <sz val="16"/>
      <color rgb="FF0E2841"/>
      <name val="Aptos Narrow"/>
      <family val="2"/>
    </font>
    <font>
      <sz val="14"/>
      <color rgb="FF000000"/>
      <name val="Aptos Narrow"/>
      <family val="2"/>
    </font>
    <font>
      <b/>
      <sz val="14"/>
      <color rgb="FF000000"/>
      <name val="Aptos Narrow"/>
      <family val="2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4"/>
      <color rgb="FF000000"/>
      <name val="Abadi ExtraLight"/>
      <family val="2"/>
      <charset val="238"/>
    </font>
  </fonts>
  <fills count="15">
    <fill>
      <patternFill patternType="none"/>
    </fill>
    <fill>
      <patternFill patternType="gray125"/>
    </fill>
    <fill>
      <patternFill patternType="solid">
        <fgColor rgb="FFFF6A05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97132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C0E6F5"/>
        <bgColor rgb="FFD9D9D9"/>
      </patternFill>
    </fill>
    <fill>
      <patternFill patternType="solid">
        <fgColor rgb="FFFF6A05"/>
        <bgColor rgb="FFE97132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rgb="FF44B3E1"/>
      </left>
      <right style="thin">
        <color rgb="FF44B3E1"/>
      </right>
      <top style="medium">
        <color rgb="FF44B3E1"/>
      </top>
      <bottom/>
      <diagonal/>
    </border>
    <border>
      <left style="thin">
        <color rgb="FF44B3E1"/>
      </left>
      <right style="thin">
        <color rgb="FF44B3E1"/>
      </right>
      <top style="thin">
        <color rgb="FF44B3E1"/>
      </top>
      <bottom style="thin">
        <color rgb="FF44B3E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F1A983"/>
      </bottom>
      <diagonal/>
    </border>
    <border>
      <left style="thin">
        <color rgb="FFF1A983"/>
      </left>
      <right style="thin">
        <color rgb="FFF1A983"/>
      </right>
      <top style="medium">
        <color rgb="FFF1A983"/>
      </top>
      <bottom style="medium">
        <color rgb="FFF1A983"/>
      </bottom>
      <diagonal/>
    </border>
    <border>
      <left style="thin">
        <color rgb="FFF1A983"/>
      </left>
      <right/>
      <top style="thin">
        <color rgb="FFF1A983"/>
      </top>
      <bottom style="thin">
        <color rgb="FFF1A983"/>
      </bottom>
      <diagonal/>
    </border>
    <border>
      <left style="thin">
        <color rgb="FFF1A983"/>
      </left>
      <right style="thin">
        <color rgb="FFF1A983"/>
      </right>
      <top style="thin">
        <color rgb="FFF1A983"/>
      </top>
      <bottom style="thin">
        <color rgb="FFF1A983"/>
      </bottom>
      <diagonal/>
    </border>
    <border>
      <left style="thin">
        <color rgb="FFF1A983"/>
      </left>
      <right style="thin">
        <color rgb="FFF1A983"/>
      </right>
      <top style="thin">
        <color rgb="FFF1A983"/>
      </top>
      <bottom style="medium">
        <color rgb="FFF1A983"/>
      </bottom>
      <diagonal/>
    </border>
    <border>
      <left style="thin">
        <color rgb="FFF1A983"/>
      </left>
      <right style="thin">
        <color rgb="FFF1A983"/>
      </right>
      <top/>
      <bottom style="medium">
        <color rgb="FFF1A983"/>
      </bottom>
      <diagonal/>
    </border>
    <border>
      <left style="thin">
        <color rgb="FF44B3E1"/>
      </left>
      <right style="thin">
        <color rgb="FF44B3E1"/>
      </right>
      <top style="thin">
        <color rgb="FF44B3E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F1A983"/>
      </left>
      <right style="thin">
        <color rgb="FFF1A983"/>
      </right>
      <top/>
      <bottom style="thin">
        <color rgb="FFF1A983"/>
      </bottom>
      <diagonal/>
    </border>
    <border>
      <left style="thin">
        <color rgb="FF44B3E1"/>
      </left>
      <right style="thin">
        <color rgb="FF44B3E1"/>
      </right>
      <top style="thin">
        <color rgb="FF44B3E1"/>
      </top>
      <bottom style="medium">
        <color rgb="FF44B3E1"/>
      </bottom>
      <diagonal/>
    </border>
    <border>
      <left/>
      <right/>
      <top/>
      <bottom style="medium">
        <color rgb="FF44B3E1"/>
      </bottom>
      <diagonal/>
    </border>
    <border>
      <left style="thin">
        <color rgb="FFF1A983"/>
      </left>
      <right/>
      <top/>
      <bottom style="thin">
        <color rgb="FFF1A983"/>
      </bottom>
      <diagonal/>
    </border>
    <border>
      <left style="thin">
        <color rgb="FFF1A983"/>
      </left>
      <right/>
      <top style="thin">
        <color rgb="FFF1A983"/>
      </top>
      <bottom style="thin">
        <color indexed="64"/>
      </bottom>
      <diagonal/>
    </border>
    <border>
      <left style="thin">
        <color rgb="FFF1A983"/>
      </left>
      <right style="thin">
        <color rgb="FFF1A983"/>
      </right>
      <top style="thin">
        <color rgb="FFF1A983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rgb="FF44B3E1"/>
      </bottom>
      <diagonal/>
    </border>
    <border>
      <left/>
      <right/>
      <top/>
      <bottom style="thick">
        <color rgb="FF64BEE6"/>
      </bottom>
      <diagonal/>
    </border>
    <border>
      <left style="thin">
        <color rgb="FF44B3E1"/>
      </left>
      <right style="thin">
        <color rgb="FF44B3E1"/>
      </right>
      <top/>
      <bottom style="thin">
        <color rgb="FF44B3E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27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/>
    <xf numFmtId="0" fontId="6" fillId="0" borderId="0" xfId="0" applyFont="1"/>
    <xf numFmtId="0" fontId="3" fillId="2" borderId="0" xfId="0" applyFont="1" applyFill="1"/>
    <xf numFmtId="0" fontId="9" fillId="0" borderId="0" xfId="0" applyFont="1" applyAlignment="1">
      <alignment horizontal="center"/>
    </xf>
    <xf numFmtId="0" fontId="10" fillId="4" borderId="5" xfId="0" applyFont="1" applyFill="1" applyBorder="1" applyAlignment="1">
      <alignment horizontal="center"/>
    </xf>
    <xf numFmtId="0" fontId="12" fillId="5" borderId="6" xfId="0" applyFont="1" applyFill="1" applyBorder="1"/>
    <xf numFmtId="0" fontId="13" fillId="0" borderId="8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2" fillId="7" borderId="17" xfId="0" applyFont="1" applyFill="1" applyBorder="1"/>
    <xf numFmtId="2" fontId="14" fillId="7" borderId="17" xfId="0" applyNumberFormat="1" applyFont="1" applyFill="1" applyBorder="1"/>
    <xf numFmtId="0" fontId="12" fillId="7" borderId="18" xfId="0" applyFont="1" applyFill="1" applyBorder="1"/>
    <xf numFmtId="2" fontId="14" fillId="7" borderId="18" xfId="0" applyNumberFormat="1" applyFont="1" applyFill="1" applyBorder="1"/>
    <xf numFmtId="2" fontId="14" fillId="3" borderId="18" xfId="0" applyNumberFormat="1" applyFont="1" applyFill="1" applyBorder="1"/>
    <xf numFmtId="2" fontId="12" fillId="9" borderId="18" xfId="0" applyNumberFormat="1" applyFont="1" applyFill="1" applyBorder="1"/>
    <xf numFmtId="2" fontId="10" fillId="2" borderId="19" xfId="0" applyNumberFormat="1" applyFont="1" applyFill="1" applyBorder="1"/>
    <xf numFmtId="2" fontId="14" fillId="3" borderId="11" xfId="0" applyNumberFormat="1" applyFont="1" applyFill="1" applyBorder="1"/>
    <xf numFmtId="2" fontId="14" fillId="3" borderId="13" xfId="0" applyNumberFormat="1" applyFont="1" applyFill="1" applyBorder="1"/>
    <xf numFmtId="2" fontId="12" fillId="9" borderId="22" xfId="0" applyNumberFormat="1" applyFont="1" applyFill="1" applyBorder="1"/>
    <xf numFmtId="0" fontId="0" fillId="0" borderId="22" xfId="0" applyBorder="1"/>
    <xf numFmtId="0" fontId="16" fillId="0" borderId="0" xfId="0" applyFont="1"/>
    <xf numFmtId="4" fontId="11" fillId="5" borderId="6" xfId="0" applyNumberFormat="1" applyFont="1" applyFill="1" applyBorder="1"/>
    <xf numFmtId="4" fontId="17" fillId="2" borderId="6" xfId="0" applyNumberFormat="1" applyFont="1" applyFill="1" applyBorder="1"/>
    <xf numFmtId="3" fontId="11" fillId="5" borderId="6" xfId="0" applyNumberFormat="1" applyFont="1" applyFill="1" applyBorder="1"/>
    <xf numFmtId="164" fontId="11" fillId="5" borderId="6" xfId="0" applyNumberFormat="1" applyFont="1" applyFill="1" applyBorder="1"/>
    <xf numFmtId="165" fontId="11" fillId="7" borderId="17" xfId="0" applyNumberFormat="1" applyFont="1" applyFill="1" applyBorder="1"/>
    <xf numFmtId="165" fontId="11" fillId="7" borderId="18" xfId="0" applyNumberFormat="1" applyFont="1" applyFill="1" applyBorder="1"/>
    <xf numFmtId="165" fontId="12" fillId="9" borderId="19" xfId="0" applyNumberFormat="1" applyFont="1" applyFill="1" applyBorder="1"/>
    <xf numFmtId="165" fontId="11" fillId="7" borderId="11" xfId="0" applyNumberFormat="1" applyFont="1" applyFill="1" applyBorder="1"/>
    <xf numFmtId="165" fontId="11" fillId="7" borderId="13" xfId="0" applyNumberFormat="1" applyFont="1" applyFill="1" applyBorder="1"/>
    <xf numFmtId="165" fontId="12" fillId="9" borderId="15" xfId="0" applyNumberFormat="1" applyFont="1" applyFill="1" applyBorder="1"/>
    <xf numFmtId="165" fontId="12" fillId="9" borderId="23" xfId="0" applyNumberFormat="1" applyFont="1" applyFill="1" applyBorder="1"/>
    <xf numFmtId="165" fontId="10" fillId="2" borderId="24" xfId="0" applyNumberFormat="1" applyFont="1" applyFill="1" applyBorder="1"/>
    <xf numFmtId="166" fontId="11" fillId="5" borderId="6" xfId="0" applyNumberFormat="1" applyFont="1" applyFill="1" applyBorder="1"/>
    <xf numFmtId="0" fontId="12" fillId="5" borderId="26" xfId="0" applyFont="1" applyFill="1" applyBorder="1"/>
    <xf numFmtId="4" fontId="11" fillId="5" borderId="26" xfId="0" applyNumberFormat="1" applyFont="1" applyFill="1" applyBorder="1"/>
    <xf numFmtId="0" fontId="10" fillId="2" borderId="21" xfId="0" applyFont="1" applyFill="1" applyBorder="1" applyAlignment="1">
      <alignment horizontal="center"/>
    </xf>
    <xf numFmtId="4" fontId="10" fillId="2" borderId="21" xfId="0" applyNumberFormat="1" applyFont="1" applyFill="1" applyBorder="1"/>
    <xf numFmtId="0" fontId="10" fillId="6" borderId="27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10" fillId="8" borderId="25" xfId="0" applyFont="1" applyFill="1" applyBorder="1" applyAlignment="1">
      <alignment horizontal="right"/>
    </xf>
    <xf numFmtId="4" fontId="15" fillId="2" borderId="25" xfId="0" applyNumberFormat="1" applyFont="1" applyFill="1" applyBorder="1"/>
    <xf numFmtId="0" fontId="12" fillId="5" borderId="29" xfId="0" applyFont="1" applyFill="1" applyBorder="1"/>
    <xf numFmtId="4" fontId="11" fillId="5" borderId="29" xfId="0" applyNumberFormat="1" applyFont="1" applyFill="1" applyBorder="1"/>
    <xf numFmtId="3" fontId="11" fillId="5" borderId="29" xfId="0" applyNumberFormat="1" applyFont="1" applyFill="1" applyBorder="1"/>
    <xf numFmtId="166" fontId="11" fillId="5" borderId="29" xfId="0" applyNumberFormat="1" applyFont="1" applyFill="1" applyBorder="1"/>
    <xf numFmtId="0" fontId="10" fillId="6" borderId="10" xfId="0" applyFont="1" applyFill="1" applyBorder="1" applyAlignment="1">
      <alignment horizontal="center"/>
    </xf>
    <xf numFmtId="0" fontId="12" fillId="7" borderId="12" xfId="0" applyFont="1" applyFill="1" applyBorder="1"/>
    <xf numFmtId="0" fontId="12" fillId="7" borderId="14" xfId="0" applyFont="1" applyFill="1" applyBorder="1"/>
    <xf numFmtId="0" fontId="12" fillId="3" borderId="14" xfId="0" applyFont="1" applyFill="1" applyBorder="1"/>
    <xf numFmtId="0" fontId="10" fillId="8" borderId="14" xfId="0" applyFont="1" applyFill="1" applyBorder="1" applyAlignment="1">
      <alignment horizontal="center"/>
    </xf>
    <xf numFmtId="0" fontId="10" fillId="2" borderId="16" xfId="0" applyFont="1" applyFill="1" applyBorder="1" applyAlignment="1">
      <alignment horizontal="center"/>
    </xf>
    <xf numFmtId="0" fontId="10" fillId="8" borderId="31" xfId="0" applyFont="1" applyFill="1" applyBorder="1" applyAlignment="1">
      <alignment horizontal="center"/>
    </xf>
    <xf numFmtId="0" fontId="13" fillId="0" borderId="0" xfId="0" applyFont="1"/>
    <xf numFmtId="2" fontId="18" fillId="3" borderId="0" xfId="0" applyNumberFormat="1" applyFont="1" applyFill="1"/>
    <xf numFmtId="0" fontId="0" fillId="0" borderId="32" xfId="0" applyBorder="1"/>
    <xf numFmtId="2" fontId="10" fillId="2" borderId="0" xfId="0" applyNumberFormat="1" applyFont="1" applyFill="1" applyAlignment="1">
      <alignment horizontal="center"/>
    </xf>
    <xf numFmtId="0" fontId="0" fillId="0" borderId="33" xfId="0" applyBorder="1"/>
    <xf numFmtId="2" fontId="7" fillId="2" borderId="4" xfId="0" applyNumberFormat="1" applyFont="1" applyFill="1" applyBorder="1"/>
    <xf numFmtId="2" fontId="10" fillId="10" borderId="15" xfId="0" applyNumberFormat="1" applyFont="1" applyFill="1" applyBorder="1"/>
    <xf numFmtId="2" fontId="10" fillId="10" borderId="7" xfId="0" applyNumberFormat="1" applyFont="1" applyFill="1" applyBorder="1"/>
    <xf numFmtId="2" fontId="3" fillId="10" borderId="22" xfId="0" applyNumberFormat="1" applyFont="1" applyFill="1" applyBorder="1"/>
    <xf numFmtId="2" fontId="3" fillId="10" borderId="13" xfId="0" applyNumberFormat="1" applyFont="1" applyFill="1" applyBorder="1"/>
    <xf numFmtId="165" fontId="0" fillId="0" borderId="0" xfId="0" applyNumberFormat="1"/>
    <xf numFmtId="0" fontId="20" fillId="11" borderId="6" xfId="0" applyFont="1" applyFill="1" applyBorder="1"/>
    <xf numFmtId="3" fontId="21" fillId="11" borderId="6" xfId="0" applyNumberFormat="1" applyFont="1" applyFill="1" applyBorder="1"/>
    <xf numFmtId="4" fontId="21" fillId="11" borderId="6" xfId="0" applyNumberFormat="1" applyFont="1" applyFill="1" applyBorder="1"/>
    <xf numFmtId="4" fontId="22" fillId="12" borderId="6" xfId="0" applyNumberFormat="1" applyFont="1" applyFill="1" applyBorder="1"/>
    <xf numFmtId="164" fontId="21" fillId="11" borderId="6" xfId="0" applyNumberFormat="1" applyFont="1" applyFill="1" applyBorder="1"/>
    <xf numFmtId="165" fontId="11" fillId="7" borderId="35" xfId="0" applyNumberFormat="1" applyFont="1" applyFill="1" applyBorder="1"/>
    <xf numFmtId="165" fontId="11" fillId="7" borderId="34" xfId="0" applyNumberFormat="1" applyFont="1" applyFill="1" applyBorder="1"/>
    <xf numFmtId="165" fontId="11" fillId="7" borderId="36" xfId="0" applyNumberFormat="1" applyFont="1" applyFill="1" applyBorder="1"/>
    <xf numFmtId="0" fontId="7" fillId="2" borderId="19" xfId="0" applyFont="1" applyFill="1" applyBorder="1" applyAlignment="1">
      <alignment horizontal="center"/>
    </xf>
    <xf numFmtId="0" fontId="7" fillId="8" borderId="28" xfId="0" applyFont="1" applyFill="1" applyBorder="1" applyAlignment="1">
      <alignment horizontal="center"/>
    </xf>
    <xf numFmtId="165" fontId="3" fillId="13" borderId="0" xfId="0" applyNumberFormat="1" applyFont="1" applyFill="1"/>
    <xf numFmtId="0" fontId="9" fillId="0" borderId="38" xfId="0" applyFont="1" applyBorder="1" applyAlignment="1">
      <alignment horizontal="center"/>
    </xf>
    <xf numFmtId="0" fontId="0" fillId="0" borderId="38" xfId="0" applyBorder="1"/>
    <xf numFmtId="0" fontId="12" fillId="5" borderId="0" xfId="0" applyFont="1" applyFill="1"/>
    <xf numFmtId="0" fontId="7" fillId="4" borderId="6" xfId="0" applyFont="1" applyFill="1" applyBorder="1"/>
    <xf numFmtId="0" fontId="7" fillId="4" borderId="6" xfId="0" applyFont="1" applyFill="1" applyBorder="1" applyAlignment="1">
      <alignment horizontal="center"/>
    </xf>
    <xf numFmtId="4" fontId="14" fillId="0" borderId="6" xfId="0" applyNumberFormat="1" applyFont="1" applyBorder="1" applyAlignment="1">
      <alignment horizontal="center"/>
    </xf>
    <xf numFmtId="3" fontId="14" fillId="0" borderId="6" xfId="0" applyNumberFormat="1" applyFont="1" applyBorder="1" applyAlignment="1">
      <alignment horizontal="center"/>
    </xf>
    <xf numFmtId="3" fontId="12" fillId="5" borderId="6" xfId="0" applyNumberFormat="1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4" fillId="14" borderId="0" xfId="0" applyFont="1" applyFill="1" applyAlignment="1">
      <alignment horizontal="center"/>
    </xf>
    <xf numFmtId="0" fontId="24" fillId="0" borderId="0" xfId="0" applyFont="1"/>
    <xf numFmtId="0" fontId="25" fillId="5" borderId="39" xfId="0" applyFont="1" applyFill="1" applyBorder="1"/>
    <xf numFmtId="4" fontId="26" fillId="0" borderId="39" xfId="0" applyNumberFormat="1" applyFont="1" applyBorder="1" applyAlignment="1">
      <alignment horizontal="center"/>
    </xf>
    <xf numFmtId="0" fontId="25" fillId="5" borderId="6" xfId="0" applyFont="1" applyFill="1" applyBorder="1"/>
    <xf numFmtId="3" fontId="26" fillId="0" borderId="6" xfId="0" applyNumberFormat="1" applyFont="1" applyBorder="1" applyAlignment="1">
      <alignment horizontal="center"/>
    </xf>
    <xf numFmtId="3" fontId="25" fillId="5" borderId="6" xfId="0" applyNumberFormat="1" applyFont="1" applyFill="1" applyBorder="1" applyAlignment="1">
      <alignment horizontal="center"/>
    </xf>
    <xf numFmtId="4" fontId="27" fillId="5" borderId="39" xfId="0" applyNumberFormat="1" applyFont="1" applyFill="1" applyBorder="1" applyAlignment="1">
      <alignment horizontal="center"/>
    </xf>
    <xf numFmtId="3" fontId="27" fillId="5" borderId="6" xfId="0" applyNumberFormat="1" applyFont="1" applyFill="1" applyBorder="1" applyAlignment="1">
      <alignment horizontal="center"/>
    </xf>
    <xf numFmtId="2" fontId="27" fillId="5" borderId="6" xfId="0" applyNumberFormat="1" applyFont="1" applyFill="1" applyBorder="1" applyAlignment="1">
      <alignment horizontal="center"/>
    </xf>
    <xf numFmtId="164" fontId="27" fillId="5" borderId="6" xfId="0" applyNumberFormat="1" applyFont="1" applyFill="1" applyBorder="1" applyAlignment="1">
      <alignment horizontal="center"/>
    </xf>
    <xf numFmtId="4" fontId="27" fillId="5" borderId="6" xfId="0" applyNumberFormat="1" applyFont="1" applyFill="1" applyBorder="1" applyAlignment="1">
      <alignment horizontal="center"/>
    </xf>
    <xf numFmtId="0" fontId="11" fillId="0" borderId="0" xfId="0" applyFont="1" applyAlignment="1">
      <alignment vertical="center"/>
    </xf>
    <xf numFmtId="0" fontId="31" fillId="0" borderId="0" xfId="0" applyFont="1"/>
    <xf numFmtId="0" fontId="34" fillId="0" borderId="0" xfId="0" applyFont="1"/>
    <xf numFmtId="0" fontId="35" fillId="0" borderId="0" xfId="0" applyFont="1"/>
    <xf numFmtId="0" fontId="33" fillId="0" borderId="13" xfId="0" applyFont="1" applyBorder="1" applyAlignment="1">
      <alignment horizontal="center" vertical="top"/>
    </xf>
    <xf numFmtId="0" fontId="29" fillId="0" borderId="0" xfId="0" applyFont="1" applyAlignment="1">
      <alignment horizontal="left" vertical="top"/>
    </xf>
    <xf numFmtId="0" fontId="33" fillId="0" borderId="40" xfId="0" applyFont="1" applyBorder="1" applyAlignment="1">
      <alignment horizontal="left" vertical="top"/>
    </xf>
    <xf numFmtId="0" fontId="11" fillId="0" borderId="6" xfId="0" applyFont="1" applyBorder="1" applyAlignment="1">
      <alignment horizontal="left"/>
    </xf>
    <xf numFmtId="0" fontId="33" fillId="0" borderId="41" xfId="0" applyFont="1" applyBorder="1" applyAlignment="1">
      <alignment horizontal="center" vertical="top"/>
    </xf>
    <xf numFmtId="0" fontId="33" fillId="0" borderId="40" xfId="0" applyFont="1" applyBorder="1" applyAlignment="1">
      <alignment horizontal="center" vertical="top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left"/>
    </xf>
    <xf numFmtId="0" fontId="32" fillId="0" borderId="40" xfId="0" applyFont="1" applyBorder="1" applyAlignment="1">
      <alignment horizontal="left" vertical="top" wrapText="1"/>
    </xf>
    <xf numFmtId="0" fontId="32" fillId="0" borderId="42" xfId="0" applyFont="1" applyBorder="1" applyAlignment="1">
      <alignment horizontal="left" vertical="top" wrapText="1"/>
    </xf>
    <xf numFmtId="0" fontId="29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6" fillId="0" borderId="0" xfId="0" applyFont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4" fillId="0" borderId="2" xfId="2" applyFont="1" applyFill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20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9" fillId="0" borderId="37" xfId="0" applyFont="1" applyBorder="1" applyAlignment="1">
      <alignment horizontal="center"/>
    </xf>
    <xf numFmtId="0" fontId="28" fillId="5" borderId="0" xfId="0" applyFont="1" applyFill="1" applyAlignment="1">
      <alignment horizontal="center"/>
    </xf>
    <xf numFmtId="0" fontId="23" fillId="5" borderId="0" xfId="0" applyFont="1" applyFill="1" applyAlignment="1">
      <alignment horizontal="center"/>
    </xf>
    <xf numFmtId="0" fontId="13" fillId="0" borderId="8" xfId="0" applyFont="1" applyBorder="1" applyAlignment="1">
      <alignment horizontal="center"/>
    </xf>
    <xf numFmtId="0" fontId="9" fillId="0" borderId="30" xfId="0" applyFont="1" applyBorder="1" applyAlignment="1">
      <alignment horizontal="center"/>
    </xf>
  </cellXfs>
  <cellStyles count="3">
    <cellStyle name="Heading 1" xfId="1" builtinId="16" customBuiltin="1"/>
    <cellStyle name="Heading 2" xfId="2" builtinId="17"/>
    <cellStyle name="Normal" xfId="0" builtinId="0"/>
  </cellStyles>
  <dxfs count="44">
    <dxf>
      <numFmt numFmtId="165" formatCode="#,##0;;\-"/>
    </dxf>
    <dxf>
      <numFmt numFmtId="165" formatCode="#,##0;;\-"/>
    </dxf>
    <dxf>
      <numFmt numFmtId="165" formatCode="#,##0;;\-"/>
    </dxf>
    <dxf>
      <numFmt numFmtId="165" formatCode="#,##0;;\-"/>
    </dxf>
    <dxf>
      <numFmt numFmtId="165" formatCode="#,##0;;\-"/>
    </dxf>
    <dxf>
      <numFmt numFmtId="165" formatCode="#,##0;;\-"/>
    </dxf>
    <dxf>
      <border outline="0">
        <top style="medium">
          <color rgb="FF44B3E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scheme val="minor"/>
      </font>
      <numFmt numFmtId="2" formatCode="0.00"/>
      <fill>
        <patternFill patternType="solid">
          <fgColor indexed="64"/>
          <bgColor rgb="FFFF6A0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scheme val="minor"/>
      </font>
      <numFmt numFmtId="2" formatCode="0.00"/>
      <fill>
        <patternFill patternType="solid">
          <fgColor indexed="64"/>
          <bgColor rgb="FFFBE2D5"/>
        </patternFill>
      </fill>
      <border diagonalUp="0" diagonalDown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  <numFmt numFmtId="2" formatCode="0.00"/>
      <fill>
        <patternFill patternType="solid">
          <fgColor indexed="64"/>
          <bgColor rgb="FFF2DCDB"/>
        </patternFill>
      </fill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F1A983"/>
        </right>
        <top style="medium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outline="0">
        <top style="medium">
          <color indexed="64"/>
        </top>
      </border>
    </dxf>
    <dxf>
      <border outline="0">
        <top style="medium">
          <color theme="1"/>
        </top>
      </border>
    </dxf>
    <dxf>
      <border outline="0">
        <top style="medium">
          <color indexed="64"/>
        </top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outline="0">
        <top style="medium">
          <color indexed="64"/>
        </top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outline="0">
        <top style="medium">
          <color indexed="64"/>
        </top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933FF"/>
      <color rgb="FFFF6A05"/>
      <color rgb="FF000000"/>
      <color rgb="FFCC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Scenarios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SCENARIOS!$B$21:$E$21</c:f>
              <c:strCache>
                <c:ptCount val="4"/>
                <c:pt idx="0">
                  <c:v>Normal</c:v>
                </c:pt>
                <c:pt idx="1">
                  <c:v>Busy Season</c:v>
                </c:pt>
                <c:pt idx="2">
                  <c:v>Fuel Spike</c:v>
                </c:pt>
                <c:pt idx="3">
                  <c:v>Combined Stress</c:v>
                </c:pt>
              </c:strCache>
            </c:strRef>
          </c:cat>
          <c:val>
            <c:numRef>
              <c:f>SCENARIOS!$B$22:$E$22</c:f>
              <c:numCache>
                <c:formatCode>General</c:formatCode>
                <c:ptCount val="4"/>
                <c:pt idx="0">
                  <c:v>11371.04</c:v>
                </c:pt>
                <c:pt idx="1">
                  <c:v>13165.76</c:v>
                </c:pt>
                <c:pt idx="2">
                  <c:v>12319</c:v>
                </c:pt>
                <c:pt idx="3">
                  <c:v>14248.11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3F-4077-BF54-054E6CEDBE0B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SCENARIOS!$B$21:$E$21</c:f>
              <c:strCache>
                <c:ptCount val="4"/>
                <c:pt idx="0">
                  <c:v>Normal</c:v>
                </c:pt>
                <c:pt idx="1">
                  <c:v>Busy Season</c:v>
                </c:pt>
                <c:pt idx="2">
                  <c:v>Fuel Spike</c:v>
                </c:pt>
                <c:pt idx="3">
                  <c:v>Combined Stress</c:v>
                </c:pt>
              </c:strCache>
            </c:strRef>
          </c:cat>
          <c:val>
            <c:numRef>
              <c:f>SCENARIOS!$B$25:$E$25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3F-4077-BF54-054E6CEDB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09062096"/>
        <c:axId val="1809063536"/>
      </c:barChart>
      <c:catAx>
        <c:axId val="1809062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Scenario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063536"/>
        <c:crosses val="autoZero"/>
        <c:auto val="1"/>
        <c:lblAlgn val="ctr"/>
        <c:lblOffset val="100"/>
        <c:noMultiLvlLbl val="0"/>
      </c:catAx>
      <c:valAx>
        <c:axId val="18090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06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106680</xdr:rowOff>
        </xdr:from>
        <xdr:to>
          <xdr:col>3</xdr:col>
          <xdr:colOff>0</xdr:colOff>
          <xdr:row>4</xdr:row>
          <xdr:rowOff>91440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badi ExtraLight"/>
                </a:rPr>
                <a:t>Pick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2</xdr:row>
          <xdr:rowOff>106680</xdr:rowOff>
        </xdr:from>
        <xdr:to>
          <xdr:col>4</xdr:col>
          <xdr:colOff>83820</xdr:colOff>
          <xdr:row>4</xdr:row>
          <xdr:rowOff>91440</xdr:rowOff>
        </xdr:to>
        <xdr:sp macro="" textlink="">
          <xdr:nvSpPr>
            <xdr:cNvPr id="4101" name="Button 5" descr="Run Solve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badi ExtraLight"/>
                </a:rPr>
                <a:t>Run Solver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Abadi ExtraLight"/>
              </a:endParaRP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Abadi ExtraLight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2</xdr:row>
          <xdr:rowOff>106680</xdr:rowOff>
        </xdr:from>
        <xdr:to>
          <xdr:col>4</xdr:col>
          <xdr:colOff>1394460</xdr:colOff>
          <xdr:row>4</xdr:row>
          <xdr:rowOff>91440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badi Extra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504867</xdr:colOff>
      <xdr:row>8</xdr:row>
      <xdr:rowOff>30839</xdr:rowOff>
    </xdr:from>
    <xdr:to>
      <xdr:col>13</xdr:col>
      <xdr:colOff>200067</xdr:colOff>
      <xdr:row>22</xdr:row>
      <xdr:rowOff>169339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704D65-1089-8038-F366-7A5111F1EB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504BD5-7B70-4D75-B9D0-5A17AF5C35B7}" name="Table2" displayName="Table2" ref="A4:E11" totalsRowShown="0" headerRowDxfId="43" dataDxfId="42">
  <autoFilter ref="A4:E11" xr:uid="{85504BD5-7B70-4D75-B9D0-5A17AF5C35B7}"/>
  <tableColumns count="5">
    <tableColumn id="1" xr3:uid="{50BEB2F4-0562-4794-85CC-F9D8C90AE8A1}" name="Parameter" dataDxfId="41"/>
    <tableColumn id="2" xr3:uid="{A6F9AB68-7FF8-4B7D-89F9-AA23F8267148}" name="Symbol" dataDxfId="40"/>
    <tableColumn id="3" xr3:uid="{BADF1709-9C3E-4138-8FC1-25AAAD6C711C}" name="Value" dataDxfId="39"/>
    <tableColumn id="4" xr3:uid="{0373DECE-DC85-43A9-B0BB-B19216462364}" name="Unit" dataDxfId="38"/>
    <tableColumn id="5" xr3:uid="{57364CF2-A985-4A68-9EBD-9280F4AE4BE0}" name="Source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6F0FF3-6BA2-4AF7-89ED-9D7B5C7EE1F8}" name="DISTANCE" displayName="DISTANCE" ref="G4:L7" totalsRowShown="0">
  <autoFilter ref="G4:L7" xr:uid="{056F0FF3-6BA2-4AF7-89ED-9D7B5C7EE1F8}"/>
  <tableColumns count="6">
    <tableColumn id="1" xr3:uid="{1A93E872-193B-4255-ABD6-831E12DFBF67}" name="From ↓ / To →"/>
    <tableColumn id="2" xr3:uid="{EE0EBB0D-6DA6-4361-A0FF-3D278899AA84}" name="Tuzla"/>
    <tableColumn id="3" xr3:uid="{1D10B03F-5A5C-4679-80CC-57B62472B409}" name="Zenica"/>
    <tableColumn id="4" xr3:uid="{8E971080-56E7-4AE5-A0C2-80462249F41D}" name="Bihać"/>
    <tableColumn id="5" xr3:uid="{CFA1A6F6-0A9E-440F-AA0A-47FC6A8EA8B0}" name="Brčko"/>
    <tableColumn id="6" xr3:uid="{1DEDC361-B5B0-4964-83AA-9D9E022E5127}" name="Trebinje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D3FCDF-E853-4DBA-8161-98488C8859D3}" name="TIME" displayName="TIME" ref="G10:L13" totalsRowShown="0">
  <autoFilter ref="G10:L13" xr:uid="{49D3FCDF-E853-4DBA-8161-98488C8859D3}"/>
  <tableColumns count="6">
    <tableColumn id="1" xr3:uid="{3DF7CBAA-C63A-4A07-ACD6-2933B3F3AE34}" name="From ↓ / To →"/>
    <tableColumn id="2" xr3:uid="{32E743F7-A13A-4309-B55B-AE5488EAA379}" name="Tuzla" dataDxfId="36"/>
    <tableColumn id="3" xr3:uid="{BEE5E34A-14BE-417A-817C-29A0A6D14A15}" name="Zenica" dataDxfId="35"/>
    <tableColumn id="4" xr3:uid="{E773AD18-71A6-4E93-BF81-0F72B9D3D2A8}" name="Bihać" dataDxfId="34"/>
    <tableColumn id="5" xr3:uid="{545855AD-DE30-459E-B15E-AAECE669FDBD}" name="Brčko" dataDxfId="33"/>
    <tableColumn id="6" xr3:uid="{31E37E55-ACC4-4E52-9241-81586F61AFCC}" name="Trebinje" dataDxfId="32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655D59-5FD8-4F5A-88BA-F91221B8EE95}" name="TOLL" displayName="TOLL" ref="G16:L19" totalsRowShown="0" tableBorderDxfId="31">
  <autoFilter ref="G16:L19" xr:uid="{EC655D59-5FD8-4F5A-88BA-F91221B8EE95}"/>
  <tableColumns count="6">
    <tableColumn id="1" xr3:uid="{E9AA518D-84A2-4D49-9356-312F78463175}" name="From ↓ / To →"/>
    <tableColumn id="2" xr3:uid="{D848B490-23EE-4036-AEE6-D7FAC5B78313}" name="Tuzla" dataDxfId="30"/>
    <tableColumn id="3" xr3:uid="{5E3B3936-434D-412D-A665-C77EB3A5DF50}" name="Zenica" dataDxfId="29"/>
    <tableColumn id="4" xr3:uid="{B290B0B8-BBB6-4E34-96AC-F2595BA7063A}" name="Bihać" dataDxfId="28"/>
    <tableColumn id="5" xr3:uid="{95147137-D69C-42F8-8D0D-59CBB0C3813B}" name="Brčko" dataDxfId="27"/>
    <tableColumn id="6" xr3:uid="{8376BE9B-F92F-49A8-99C6-B4EAD42565DB}" name="Trebinje" dataDxfId="26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CB600D-3AF9-45EA-9104-407683CD4927}" name="UNITCOST" displayName="UNITCOST" ref="G22:L25" totalsRowShown="0" tableBorderDxfId="25">
  <autoFilter ref="G22:L25" xr:uid="{ECCB600D-3AF9-45EA-9104-407683CD4927}"/>
  <tableColumns count="6">
    <tableColumn id="1" xr3:uid="{5BDA74DA-3D30-4EA7-830D-0DD261CF3C30}" name="From ↓ / To →"/>
    <tableColumn id="2" xr3:uid="{4AFF3F6F-AB32-4D5D-BEB2-F234977D6A03}" name="Tuzla" dataDxfId="24">
      <calculatedColumnFormula>H29/Q + O</calculatedColumnFormula>
    </tableColumn>
    <tableColumn id="3" xr3:uid="{9A6B78E1-7B9B-435C-BAD4-FC63A289838C}" name="Zenica" dataDxfId="23">
      <calculatedColumnFormula>I29/Q + O</calculatedColumnFormula>
    </tableColumn>
    <tableColumn id="4" xr3:uid="{E7AC17CF-46A8-4209-88F7-A0A4A584312F}" name="Bihać" dataDxfId="22">
      <calculatedColumnFormula>J29/Q + O</calculatedColumnFormula>
    </tableColumn>
    <tableColumn id="5" xr3:uid="{56D80738-F7D3-412B-9FA6-602462D5AB43}" name="Brčko" dataDxfId="21">
      <calculatedColumnFormula>K29/Q + O</calculatedColumnFormula>
    </tableColumn>
    <tableColumn id="6" xr3:uid="{7C5D41C7-9112-4878-ABF8-2ED1AC784089}" name="Trebinje" dataDxfId="20">
      <calculatedColumnFormula>L29/Q + O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BF0FF8-0E8C-4299-A586-0E35AA90AFAA}" name="SUPPLY" displayName="SUPPLY" ref="N4:O8" totalsRowShown="0" tableBorderDxfId="19">
  <autoFilter ref="N4:O8" xr:uid="{1FBF0FF8-0E8C-4299-A586-0E35AA90AFAA}"/>
  <tableColumns count="2">
    <tableColumn id="1" xr3:uid="{2695C16A-C287-4EB2-8DAD-F5BB58299247}" name="Distribution Centre"/>
    <tableColumn id="2" xr3:uid="{FA3BDDAF-3C5F-4FBA-856C-F6D58D1B1A29}" name="Supply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C2B602-3929-4186-B23B-D6CB1010E16A}" name="DEMAND" displayName="DEMAND" ref="N10:O16" totalsRowShown="0" tableBorderDxfId="18">
  <autoFilter ref="N10:O16" xr:uid="{65C2B602-3929-4186-B23B-D6CB1010E16A}"/>
  <tableColumns count="2">
    <tableColumn id="1" xr3:uid="{0ACEA905-2D4A-41BB-978D-9C6E53202794}" name="Warehouse"/>
    <tableColumn id="2" xr3:uid="{A4957547-F607-4E38-A624-A3C6F8A37DA8}" name="Demand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36F267F-2F77-45DE-A75E-BDFE133C6C81}" name="UNITCOST11" displayName="UNITCOST11" ref="G28:L31" totalsRowShown="0" tableBorderDxfId="17">
  <autoFilter ref="G28:L31" xr:uid="{E36F267F-2F77-45DE-A75E-BDFE133C6C81}"/>
  <tableColumns count="6">
    <tableColumn id="1" xr3:uid="{8A3EA8B8-FE44-4CAA-9871-2738604105F6}" name="From ↓ / To →"/>
    <tableColumn id="2" xr3:uid="{96C1EE77-17DD-49E9-B16F-0E5DE1D3632F}" name="Tuzla" dataDxfId="16">
      <calculatedColumnFormula>H5*(FL+FE)*Pf + 2*H11*W + 2*H17</calculatedColumnFormula>
    </tableColumn>
    <tableColumn id="3" xr3:uid="{D9F8D71F-73B0-4623-9B7B-760EAB8A2231}" name="Zenica" dataDxfId="15">
      <calculatedColumnFormula>I5*(FL+FE)*Pf + 2*I11*W + 2*I17</calculatedColumnFormula>
    </tableColumn>
    <tableColumn id="4" xr3:uid="{378364E9-D443-4BFA-92A9-ACC10719B82B}" name="Bihać" dataDxfId="14">
      <calculatedColumnFormula>J5*(FL+FE)*Pf + 2*J11*W + 2*J17</calculatedColumnFormula>
    </tableColumn>
    <tableColumn id="5" xr3:uid="{54EA6244-DFDE-4A9A-A267-7100BDA17A55}" name="Brčko" dataDxfId="13">
      <calculatedColumnFormula>K5*(FL+FE)*Pf + 2*K11*W + 2*K17</calculatedColumnFormula>
    </tableColumn>
    <tableColumn id="6" xr3:uid="{330A075F-EBD3-4170-BC0A-94A15B0746A9}" name="Trebinje" dataDxfId="12">
      <calculatedColumnFormula>L5*(FL+FE)*Pf + 2*L11*W + 2*L17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2B80E9B-C7B7-47A6-989B-049D726DC344}" name="Table7" displayName="Table7" ref="A11:I17" totalsRowShown="0" headerRowDxfId="11" tableBorderDxfId="10">
  <autoFilter ref="A11:I17" xr:uid="{72B80E9B-C7B7-47A6-989B-049D726DC344}"/>
  <tableColumns count="9">
    <tableColumn id="1" xr3:uid="{EC23AB1C-F9BC-4269-8351-69001D6932EA}" name="Column1"/>
    <tableColumn id="2" xr3:uid="{09446397-4BB4-4E61-9CA4-FAD89CC1AFEA}" name="Tuzla"/>
    <tableColumn id="3" xr3:uid="{724D7DB7-BC74-4534-846A-78821525FE98}" name="Zenica"/>
    <tableColumn id="4" xr3:uid="{2E72A471-27BA-4C5C-B17F-D4E7AFB7B8B9}" name="Bihać"/>
    <tableColumn id="5" xr3:uid="{8C433D4B-9510-4F50-B1F4-A3BA445688FD}" name="Brčko"/>
    <tableColumn id="6" xr3:uid="{2630DD66-35E0-4388-8118-5824445C89E2}" name="Trebinje"/>
    <tableColumn id="7" xr3:uid="{FE955CA3-9654-49FD-97AB-A0670D46BAD0}" name="Dummy" dataDxfId="9"/>
    <tableColumn id="8" xr3:uid="{F64905D0-6B25-42F9-9698-4E3158C5282D}" name="S_SUM" dataDxfId="8"/>
    <tableColumn id="9" xr3:uid="{73E5ECCD-3370-4BD2-AD73-F8674FB39863}" name="SUPPLY" dataDxfId="7"/>
  </tableColumns>
  <tableStyleInfo name="TableStyleDark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77B8973-E5FF-48A5-B409-A5FDB5948DE6}" name="Table9" displayName="Table9" ref="A4:G8" totalsRowShown="0" tableBorderDxfId="6">
  <autoFilter ref="A4:G8" xr:uid="{A77B8973-E5FF-48A5-B409-A5FDB5948DE6}"/>
  <tableColumns count="7">
    <tableColumn id="1" xr3:uid="{1382CCD3-7B22-4632-81C4-8F633F2B8229}" name="Column1"/>
    <tableColumn id="2" xr3:uid="{0EE9767A-756F-4C0C-AB93-FE3FA09AE3E0}" name="Tuzla"/>
    <tableColumn id="3" xr3:uid="{5EDA1A85-DA58-4765-BE35-3E83824D6A67}" name="Zenica"/>
    <tableColumn id="4" xr3:uid="{C3444481-15F0-477E-8DC4-DD02953B4FEF}" name="Bihać"/>
    <tableColumn id="5" xr3:uid="{B82C1029-9B11-499A-B266-FDCB5E43F3B0}" name="Brčko"/>
    <tableColumn id="6" xr3:uid="{DA2AAF72-1693-4280-8A7D-E7D7A29592C9}" name="Trebinje"/>
    <tableColumn id="7" xr3:uid="{05DE5E7E-61ED-46A5-B978-092D09D6273A}" name="Dummy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EF4AF3-FC89-4712-8A3A-22D27BF53689}" name="Table1" displayName="Table1" ref="A29:G33" totalsRowShown="0">
  <autoFilter ref="A29:G33" xr:uid="{F2EF4AF3-FC89-4712-8A3A-22D27BF53689}"/>
  <tableColumns count="7">
    <tableColumn id="1" xr3:uid="{B7D59F35-274F-4493-8252-9F4F2D3AACE0}" name="Trucks/Lane"/>
    <tableColumn id="2" xr3:uid="{E3815EE2-F05B-4D3E-BEC1-B3A5C8F44A1A}" name="Tuzla" dataDxfId="5"/>
    <tableColumn id="3" xr3:uid="{63581C3D-FC3E-4CA6-B5AB-380239402299}" name="Zenica" dataDxfId="4"/>
    <tableColumn id="4" xr3:uid="{05E04443-4F2F-4663-BA6E-2E2570303299}" name="Bihać" dataDxfId="3"/>
    <tableColumn id="5" xr3:uid="{B60BC793-02EF-4C08-A84E-353273FA8B80}" name="Brčko" dataDxfId="2"/>
    <tableColumn id="6" xr3:uid="{7C3F3C63-368E-41A0-80FC-FAB5700ECEF2}" name="Trebinje" dataDxfId="1"/>
    <tableColumn id="7" xr3:uid="{5DE316E3-38B0-4E60-8E3F-4D9F97A4B9D1}" name="Row total" dataDxfId="0">
      <calculatedColumnFormula>SUM(B30:F30)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6D0CECC-9B55-4C72-8FFA-1B92977B31AE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6745dbc5-a9c3-42a7-b4e5-d72a58a024db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65F2-2294-4B8E-A51E-68D218264F2A}">
  <sheetPr codeName="Sheet1">
    <tabColor theme="0" tint="-0.249977111117893"/>
  </sheetPr>
  <dimension ref="A1:Q21"/>
  <sheetViews>
    <sheetView tabSelected="1" zoomScale="91" workbookViewId="0">
      <selection activeCell="A8" sqref="A8"/>
    </sheetView>
  </sheetViews>
  <sheetFormatPr defaultRowHeight="14.4" x14ac:dyDescent="0.3"/>
  <cols>
    <col min="1" max="1" width="31.5546875" bestFit="1" customWidth="1"/>
    <col min="2" max="2" width="12.6640625" bestFit="1" customWidth="1"/>
    <col min="3" max="3" width="16.5546875" bestFit="1" customWidth="1"/>
    <col min="4" max="4" width="13.77734375" bestFit="1" customWidth="1"/>
    <col min="5" max="5" width="20.109375" bestFit="1" customWidth="1"/>
    <col min="10" max="10" width="23.5546875" customWidth="1"/>
    <col min="13" max="13" width="50.44140625" customWidth="1"/>
    <col min="17" max="17" width="56.5546875" customWidth="1"/>
  </cols>
  <sheetData>
    <row r="1" spans="1:17" ht="23.4" x14ac:dyDescent="0.45">
      <c r="A1" s="107" t="s">
        <v>139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</row>
    <row r="2" spans="1:17" ht="18" x14ac:dyDescent="0.3">
      <c r="A2" s="111" t="s">
        <v>140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</row>
    <row r="3" spans="1:17" ht="18" x14ac:dyDescent="0.3">
      <c r="A3" s="102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</row>
    <row r="4" spans="1:17" ht="21" x14ac:dyDescent="0.4">
      <c r="A4" s="108" t="s">
        <v>150</v>
      </c>
      <c r="B4" s="108"/>
      <c r="C4" s="108"/>
      <c r="D4" s="108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7" ht="18" x14ac:dyDescent="0.3">
      <c r="A5" s="103" t="s">
        <v>151</v>
      </c>
      <c r="B5" s="109" t="s">
        <v>155</v>
      </c>
      <c r="C5" s="109"/>
      <c r="D5" s="109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7" ht="18" x14ac:dyDescent="0.3">
      <c r="A6" s="103" t="s">
        <v>152</v>
      </c>
      <c r="B6" s="109">
        <v>240302361</v>
      </c>
      <c r="C6" s="109"/>
      <c r="D6" s="109"/>
      <c r="E6" s="102"/>
      <c r="F6" s="102"/>
      <c r="G6" s="102"/>
      <c r="H6" s="102"/>
      <c r="I6" s="102"/>
      <c r="J6" s="102"/>
      <c r="K6" s="102"/>
      <c r="L6" s="102"/>
      <c r="M6" s="102"/>
      <c r="N6" s="102"/>
    </row>
    <row r="7" spans="1:17" ht="18" x14ac:dyDescent="0.3">
      <c r="A7" s="103" t="s">
        <v>153</v>
      </c>
      <c r="B7" s="109" t="s">
        <v>156</v>
      </c>
      <c r="C7" s="109"/>
      <c r="D7" s="109"/>
      <c r="E7" s="102"/>
      <c r="F7" s="102"/>
      <c r="G7" s="102"/>
      <c r="H7" s="102"/>
      <c r="I7" s="102"/>
      <c r="J7" s="102"/>
      <c r="K7" s="102"/>
      <c r="L7" s="102"/>
      <c r="M7" s="102"/>
      <c r="N7" s="102"/>
    </row>
    <row r="8" spans="1:17" ht="18" x14ac:dyDescent="0.3">
      <c r="A8" s="102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</row>
    <row r="9" spans="1:17" s="99" customFormat="1" ht="18" customHeight="1" x14ac:dyDescent="0.3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 s="100" customFormat="1" ht="21" x14ac:dyDescent="0.4">
      <c r="A10" s="98" t="s">
        <v>141</v>
      </c>
    </row>
    <row r="11" spans="1:17" s="99" customFormat="1" ht="18" customHeight="1" x14ac:dyDescent="0.35">
      <c r="A11" s="101">
        <v>1</v>
      </c>
      <c r="B11" s="109" t="s">
        <v>142</v>
      </c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</row>
    <row r="12" spans="1:17" s="99" customFormat="1" ht="18" customHeight="1" x14ac:dyDescent="0.35">
      <c r="A12" s="101">
        <v>2</v>
      </c>
      <c r="B12" s="109" t="s">
        <v>143</v>
      </c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</row>
    <row r="13" spans="1:17" s="99" customFormat="1" ht="18" customHeight="1" x14ac:dyDescent="0.35">
      <c r="A13" s="101">
        <v>3</v>
      </c>
      <c r="B13" s="109" t="s">
        <v>161</v>
      </c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</row>
    <row r="14" spans="1:17" s="99" customFormat="1" ht="18" customHeight="1" x14ac:dyDescent="0.35">
      <c r="A14" s="101">
        <v>4</v>
      </c>
      <c r="B14" s="109" t="s">
        <v>144</v>
      </c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</row>
    <row r="15" spans="1:17" s="99" customFormat="1" ht="18" customHeight="1" x14ac:dyDescent="0.35">
      <c r="A15" s="105">
        <v>5</v>
      </c>
      <c r="B15" s="110" t="s">
        <v>145</v>
      </c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</row>
    <row r="16" spans="1:17" s="99" customFormat="1" ht="18" customHeight="1" x14ac:dyDescent="0.35">
      <c r="A16" s="106">
        <v>6</v>
      </c>
      <c r="B16" s="109" t="s">
        <v>160</v>
      </c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</row>
    <row r="18" spans="1:12" ht="21" x14ac:dyDescent="0.4">
      <c r="A18" s="108" t="s">
        <v>146</v>
      </c>
      <c r="B18" s="108"/>
      <c r="C18" s="108"/>
    </row>
    <row r="19" spans="1:12" ht="18" x14ac:dyDescent="0.3">
      <c r="A19" s="112" t="s">
        <v>147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</row>
    <row r="20" spans="1:12" ht="18" x14ac:dyDescent="0.3">
      <c r="A20" s="112" t="s">
        <v>148</v>
      </c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112"/>
    </row>
    <row r="21" spans="1:12" ht="18" x14ac:dyDescent="0.3">
      <c r="A21" s="112" t="s">
        <v>149</v>
      </c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</row>
  </sheetData>
  <mergeCells count="16">
    <mergeCell ref="A18:C18"/>
    <mergeCell ref="A20:L20"/>
    <mergeCell ref="A19:L19"/>
    <mergeCell ref="A21:L21"/>
    <mergeCell ref="B16:M16"/>
    <mergeCell ref="B13:M13"/>
    <mergeCell ref="B11:M11"/>
    <mergeCell ref="B12:M12"/>
    <mergeCell ref="B15:M15"/>
    <mergeCell ref="A2:N2"/>
    <mergeCell ref="B14:M14"/>
    <mergeCell ref="A1:N1"/>
    <mergeCell ref="A4:D4"/>
    <mergeCell ref="B5:D5"/>
    <mergeCell ref="B6:D6"/>
    <mergeCell ref="B7:D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54B5A-35EF-43A8-B289-675FDEBB1C06}">
  <sheetPr codeName="Sheet2">
    <tabColor theme="3" tint="0.749992370372631"/>
  </sheetPr>
  <dimension ref="A1:S31"/>
  <sheetViews>
    <sheetView zoomScale="92" zoomScaleNormal="100" workbookViewId="0">
      <selection activeCell="C5" sqref="C5"/>
    </sheetView>
  </sheetViews>
  <sheetFormatPr defaultRowHeight="14.4" x14ac:dyDescent="0.3"/>
  <cols>
    <col min="1" max="1" width="21" bestFit="1" customWidth="1"/>
    <col min="2" max="3" width="10.109375" customWidth="1"/>
    <col min="4" max="4" width="9.77734375" customWidth="1"/>
    <col min="5" max="5" width="31.88671875" bestFit="1" customWidth="1"/>
    <col min="6" max="6" width="9.33203125" customWidth="1"/>
    <col min="7" max="7" width="15" bestFit="1" customWidth="1"/>
    <col min="9" max="9" width="9.44140625" bestFit="1" customWidth="1"/>
    <col min="11" max="11" width="8.5546875" bestFit="1" customWidth="1"/>
    <col min="12" max="12" width="11" bestFit="1" customWidth="1"/>
    <col min="14" max="14" width="21.109375" bestFit="1" customWidth="1"/>
    <col min="15" max="15" width="11.109375" bestFit="1" customWidth="1"/>
    <col min="18" max="18" width="9.33203125" customWidth="1"/>
  </cols>
  <sheetData>
    <row r="1" spans="1:19" ht="21" x14ac:dyDescent="0.4">
      <c r="A1" s="113" t="s">
        <v>0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3"/>
      <c r="Q1" s="3"/>
      <c r="R1" s="3"/>
      <c r="S1" s="3"/>
    </row>
    <row r="3" spans="1:19" ht="18.600000000000001" thickBot="1" x14ac:dyDescent="0.4">
      <c r="A3" s="116" t="s">
        <v>1</v>
      </c>
      <c r="B3" s="116"/>
      <c r="C3" s="116"/>
      <c r="D3" s="116"/>
      <c r="E3" s="116"/>
      <c r="G3" s="115" t="s">
        <v>33</v>
      </c>
      <c r="H3" s="115"/>
      <c r="I3" s="115"/>
      <c r="J3" s="115"/>
      <c r="K3" s="115"/>
      <c r="L3" s="115"/>
      <c r="N3" s="115" t="s">
        <v>46</v>
      </c>
      <c r="O3" s="115"/>
    </row>
    <row r="4" spans="1:19" ht="15" thickTop="1" x14ac:dyDescent="0.3">
      <c r="A4" t="s">
        <v>2</v>
      </c>
      <c r="B4" t="s">
        <v>3</v>
      </c>
      <c r="C4" t="s">
        <v>4</v>
      </c>
      <c r="D4" t="s">
        <v>5</v>
      </c>
      <c r="E4" t="s">
        <v>6</v>
      </c>
      <c r="G4" t="s">
        <v>34</v>
      </c>
      <c r="H4" t="s">
        <v>35</v>
      </c>
      <c r="I4" t="s">
        <v>36</v>
      </c>
      <c r="J4" t="s">
        <v>37</v>
      </c>
      <c r="K4" t="s">
        <v>38</v>
      </c>
      <c r="L4" t="s">
        <v>39</v>
      </c>
      <c r="N4" t="s">
        <v>49</v>
      </c>
      <c r="O4" t="s">
        <v>50</v>
      </c>
    </row>
    <row r="5" spans="1:19" x14ac:dyDescent="0.3">
      <c r="A5" s="1" t="s">
        <v>7</v>
      </c>
      <c r="B5" s="1" t="s">
        <v>8</v>
      </c>
      <c r="C5" s="1">
        <v>3.2</v>
      </c>
      <c r="D5" s="1" t="s">
        <v>10</v>
      </c>
      <c r="E5" s="1" t="s">
        <v>9</v>
      </c>
      <c r="G5" t="s">
        <v>40</v>
      </c>
      <c r="H5">
        <v>121</v>
      </c>
      <c r="I5">
        <v>70</v>
      </c>
      <c r="J5">
        <v>308</v>
      </c>
      <c r="K5">
        <v>181</v>
      </c>
      <c r="L5">
        <v>203</v>
      </c>
      <c r="N5" t="s">
        <v>40</v>
      </c>
      <c r="O5">
        <v>250</v>
      </c>
    </row>
    <row r="6" spans="1:19" x14ac:dyDescent="0.3">
      <c r="A6" s="1" t="s">
        <v>11</v>
      </c>
      <c r="B6" s="1" t="s">
        <v>12</v>
      </c>
      <c r="C6" s="1">
        <v>0.32</v>
      </c>
      <c r="D6" s="1" t="s">
        <v>13</v>
      </c>
      <c r="E6" s="1" t="s">
        <v>14</v>
      </c>
      <c r="G6" t="s">
        <v>41</v>
      </c>
      <c r="H6">
        <v>231</v>
      </c>
      <c r="I6">
        <v>176</v>
      </c>
      <c r="J6">
        <v>305</v>
      </c>
      <c r="K6">
        <v>290</v>
      </c>
      <c r="L6">
        <v>116</v>
      </c>
      <c r="N6" t="s">
        <v>41</v>
      </c>
      <c r="O6">
        <v>150</v>
      </c>
    </row>
    <row r="7" spans="1:19" x14ac:dyDescent="0.3">
      <c r="A7" s="1" t="s">
        <v>15</v>
      </c>
      <c r="B7" s="1" t="s">
        <v>16</v>
      </c>
      <c r="C7" s="1">
        <v>0.24</v>
      </c>
      <c r="D7" s="1" t="s">
        <v>13</v>
      </c>
      <c r="E7" s="1" t="s">
        <v>17</v>
      </c>
      <c r="G7" t="s">
        <v>42</v>
      </c>
      <c r="H7">
        <v>168</v>
      </c>
      <c r="I7">
        <v>182</v>
      </c>
      <c r="J7">
        <v>161</v>
      </c>
      <c r="K7">
        <v>186</v>
      </c>
      <c r="L7">
        <v>346</v>
      </c>
      <c r="N7" t="s">
        <v>42</v>
      </c>
      <c r="O7">
        <v>200</v>
      </c>
    </row>
    <row r="8" spans="1:19" x14ac:dyDescent="0.3">
      <c r="A8" s="1" t="s">
        <v>18</v>
      </c>
      <c r="B8" s="1" t="s">
        <v>19</v>
      </c>
      <c r="C8" s="1">
        <v>15</v>
      </c>
      <c r="D8" s="1" t="s">
        <v>20</v>
      </c>
      <c r="E8" s="1" t="s">
        <v>21</v>
      </c>
      <c r="N8" s="4" t="s">
        <v>47</v>
      </c>
      <c r="O8" s="4">
        <f>SUM(O5:O7)</f>
        <v>600</v>
      </c>
    </row>
    <row r="9" spans="1:19" ht="18.600000000000001" thickBot="1" x14ac:dyDescent="0.4">
      <c r="A9" s="1" t="s">
        <v>22</v>
      </c>
      <c r="B9" s="1" t="s">
        <v>23</v>
      </c>
      <c r="C9" s="1">
        <v>24</v>
      </c>
      <c r="D9" s="1" t="s">
        <v>24</v>
      </c>
      <c r="E9" s="1" t="s">
        <v>25</v>
      </c>
      <c r="G9" s="115" t="s">
        <v>43</v>
      </c>
      <c r="H9" s="115"/>
      <c r="I9" s="115"/>
      <c r="J9" s="115"/>
      <c r="K9" s="115"/>
      <c r="L9" s="115"/>
      <c r="N9" s="115" t="s">
        <v>48</v>
      </c>
      <c r="O9" s="115"/>
    </row>
    <row r="10" spans="1:19" x14ac:dyDescent="0.3">
      <c r="A10" s="1" t="s">
        <v>26</v>
      </c>
      <c r="B10" s="1" t="s">
        <v>27</v>
      </c>
      <c r="C10" s="1">
        <v>5</v>
      </c>
      <c r="D10" s="1" t="s">
        <v>28</v>
      </c>
      <c r="E10" s="1" t="s">
        <v>29</v>
      </c>
      <c r="G10" t="s">
        <v>34</v>
      </c>
      <c r="H10" t="s">
        <v>35</v>
      </c>
      <c r="I10" t="s">
        <v>36</v>
      </c>
      <c r="J10" t="s">
        <v>37</v>
      </c>
      <c r="K10" t="s">
        <v>38</v>
      </c>
      <c r="L10" t="s">
        <v>39</v>
      </c>
      <c r="N10" t="s">
        <v>51</v>
      </c>
      <c r="O10" t="s">
        <v>52</v>
      </c>
    </row>
    <row r="11" spans="1:19" x14ac:dyDescent="0.3">
      <c r="A11" s="1" t="s">
        <v>30</v>
      </c>
      <c r="B11" s="1" t="s">
        <v>31</v>
      </c>
      <c r="C11" s="1">
        <v>9999</v>
      </c>
      <c r="D11" s="1" t="s">
        <v>28</v>
      </c>
      <c r="E11" s="1" t="s">
        <v>32</v>
      </c>
      <c r="G11" t="s">
        <v>40</v>
      </c>
      <c r="H11" s="2">
        <f>2+(18/60)</f>
        <v>2.2999999999999998</v>
      </c>
      <c r="I11" s="2">
        <v>1</v>
      </c>
      <c r="J11" s="2">
        <f>4+(38/60)</f>
        <v>4.6333333333333329</v>
      </c>
      <c r="K11" s="2">
        <f>3+(13/60)</f>
        <v>3.2166666666666668</v>
      </c>
      <c r="L11" s="2">
        <f>3+(41/60)</f>
        <v>3.6833333333333336</v>
      </c>
      <c r="N11" t="s">
        <v>35</v>
      </c>
      <c r="O11">
        <v>140</v>
      </c>
    </row>
    <row r="12" spans="1:19" x14ac:dyDescent="0.3">
      <c r="G12" t="s">
        <v>41</v>
      </c>
      <c r="H12" s="2">
        <f>3+(53/60)</f>
        <v>3.8833333333333333</v>
      </c>
      <c r="I12" s="2">
        <f>2+(32/60)</f>
        <v>2.5333333333333332</v>
      </c>
      <c r="J12" s="2">
        <f>4+(35/60)</f>
        <v>4.583333333333333</v>
      </c>
      <c r="K12" s="2">
        <f>4+(45/60)</f>
        <v>4.75</v>
      </c>
      <c r="L12" s="2">
        <f>1+(57/60)</f>
        <v>1.95</v>
      </c>
      <c r="N12" t="s">
        <v>36</v>
      </c>
      <c r="O12">
        <v>120</v>
      </c>
    </row>
    <row r="13" spans="1:19" x14ac:dyDescent="0.3">
      <c r="G13" t="s">
        <v>42</v>
      </c>
      <c r="H13" s="2">
        <f>2+(24/60)</f>
        <v>2.4</v>
      </c>
      <c r="I13" s="2">
        <f>2+(22/60)</f>
        <v>2.3666666666666667</v>
      </c>
      <c r="J13" s="2">
        <f>2+(29/60)</f>
        <v>2.4833333333333334</v>
      </c>
      <c r="K13" s="2">
        <f>2+(31/60)</f>
        <v>2.5166666666666666</v>
      </c>
      <c r="L13" s="2">
        <f>5+(39/60)</f>
        <v>5.65</v>
      </c>
      <c r="N13" t="s">
        <v>37</v>
      </c>
      <c r="O13">
        <v>150</v>
      </c>
    </row>
    <row r="14" spans="1:19" x14ac:dyDescent="0.3">
      <c r="N14" t="s">
        <v>38</v>
      </c>
      <c r="O14">
        <v>100</v>
      </c>
    </row>
    <row r="15" spans="1:19" ht="18" x14ac:dyDescent="0.35">
      <c r="G15" s="114" t="s">
        <v>44</v>
      </c>
      <c r="H15" s="114"/>
      <c r="I15" s="114"/>
      <c r="J15" s="114"/>
      <c r="K15" s="114"/>
      <c r="L15" s="114"/>
      <c r="N15" t="s">
        <v>39</v>
      </c>
      <c r="O15">
        <v>90</v>
      </c>
    </row>
    <row r="16" spans="1:19" x14ac:dyDescent="0.3">
      <c r="G16" t="s">
        <v>34</v>
      </c>
      <c r="H16" t="s">
        <v>35</v>
      </c>
      <c r="I16" t="s">
        <v>36</v>
      </c>
      <c r="J16" t="s">
        <v>37</v>
      </c>
      <c r="K16" t="s">
        <v>38</v>
      </c>
      <c r="L16" t="s">
        <v>39</v>
      </c>
      <c r="N16" s="4" t="s">
        <v>47</v>
      </c>
      <c r="O16" s="4">
        <f>SUM(O11:O15)</f>
        <v>600</v>
      </c>
    </row>
    <row r="17" spans="7:12" x14ac:dyDescent="0.3">
      <c r="G17" t="s">
        <v>40</v>
      </c>
      <c r="H17" s="2">
        <v>0</v>
      </c>
      <c r="I17" s="2">
        <v>28</v>
      </c>
      <c r="J17" s="2">
        <v>21.5</v>
      </c>
      <c r="K17" s="2">
        <v>0</v>
      </c>
      <c r="L17" s="2">
        <v>0</v>
      </c>
    </row>
    <row r="18" spans="7:12" x14ac:dyDescent="0.3">
      <c r="G18" t="s">
        <v>41</v>
      </c>
      <c r="H18" s="2">
        <v>21.5</v>
      </c>
      <c r="I18" s="2">
        <v>28</v>
      </c>
      <c r="J18" s="2">
        <v>0</v>
      </c>
      <c r="K18" s="2">
        <v>21.5</v>
      </c>
      <c r="L18" s="2">
        <v>0</v>
      </c>
    </row>
    <row r="19" spans="7:12" x14ac:dyDescent="0.3">
      <c r="G19" t="s">
        <v>42</v>
      </c>
      <c r="H19" s="2">
        <v>14.5</v>
      </c>
      <c r="I19" s="2">
        <v>14.5</v>
      </c>
      <c r="J19" s="2">
        <v>0</v>
      </c>
      <c r="K19" s="2">
        <v>14.5</v>
      </c>
      <c r="L19" s="2">
        <v>0</v>
      </c>
    </row>
    <row r="21" spans="7:12" ht="18" x14ac:dyDescent="0.35">
      <c r="G21" s="114" t="s">
        <v>45</v>
      </c>
      <c r="H21" s="114"/>
      <c r="I21" s="114"/>
      <c r="J21" s="114"/>
      <c r="K21" s="114"/>
      <c r="L21" s="114"/>
    </row>
    <row r="22" spans="7:12" x14ac:dyDescent="0.3">
      <c r="G22" t="s">
        <v>34</v>
      </c>
      <c r="H22" t="s">
        <v>35</v>
      </c>
      <c r="I22" t="s">
        <v>36</v>
      </c>
      <c r="J22" t="s">
        <v>37</v>
      </c>
      <c r="K22" t="s">
        <v>38</v>
      </c>
      <c r="L22" t="s">
        <v>39</v>
      </c>
    </row>
    <row r="23" spans="7:12" x14ac:dyDescent="0.3">
      <c r="G23" t="s">
        <v>40</v>
      </c>
      <c r="H23" s="2">
        <f t="shared" ref="H23:L25" si="0">H29/Q + O</f>
        <v>16.909666666666666</v>
      </c>
      <c r="I23" s="2">
        <f t="shared" si="0"/>
        <v>13.81</v>
      </c>
      <c r="J23" s="2">
        <f t="shared" si="0"/>
        <v>35.580666666666673</v>
      </c>
      <c r="K23" s="2">
        <f t="shared" si="0"/>
        <v>22.535500000000003</v>
      </c>
      <c r="L23" s="2">
        <f t="shared" si="0"/>
        <v>24.761500000000002</v>
      </c>
    </row>
    <row r="24" spans="7:12" x14ac:dyDescent="0.3">
      <c r="G24" t="s">
        <v>41</v>
      </c>
      <c r="H24" s="2">
        <f t="shared" si="0"/>
        <v>28.893833333333333</v>
      </c>
      <c r="I24" s="2">
        <f t="shared" si="0"/>
        <v>23.641333333333336</v>
      </c>
      <c r="J24" s="2">
        <f t="shared" si="0"/>
        <v>33.502499999999998</v>
      </c>
      <c r="K24" s="2">
        <f t="shared" si="0"/>
        <v>34.382500000000007</v>
      </c>
      <c r="L24" s="2">
        <f t="shared" si="0"/>
        <v>16.098833333333339</v>
      </c>
    </row>
    <row r="25" spans="7:12" x14ac:dyDescent="0.3">
      <c r="G25" t="s">
        <v>42</v>
      </c>
      <c r="H25" s="2">
        <f t="shared" si="0"/>
        <v>21.752333333333336</v>
      </c>
      <c r="I25" s="2">
        <f t="shared" si="0"/>
        <v>22.756000000000004</v>
      </c>
      <c r="J25" s="2">
        <f t="shared" si="0"/>
        <v>20.125500000000002</v>
      </c>
      <c r="K25" s="2">
        <f t="shared" si="0"/>
        <v>23.24216666666667</v>
      </c>
      <c r="L25" s="2">
        <f t="shared" si="0"/>
        <v>37.897166666666671</v>
      </c>
    </row>
    <row r="27" spans="7:12" ht="18" x14ac:dyDescent="0.35">
      <c r="G27" s="114" t="s">
        <v>90</v>
      </c>
      <c r="H27" s="114"/>
      <c r="I27" s="114"/>
      <c r="J27" s="114"/>
      <c r="K27" s="114"/>
      <c r="L27" s="114"/>
    </row>
    <row r="28" spans="7:12" x14ac:dyDescent="0.3">
      <c r="G28" t="s">
        <v>34</v>
      </c>
      <c r="H28" t="s">
        <v>35</v>
      </c>
      <c r="I28" t="s">
        <v>36</v>
      </c>
      <c r="J28" t="s">
        <v>37</v>
      </c>
      <c r="K28" t="s">
        <v>38</v>
      </c>
      <c r="L28" t="s">
        <v>39</v>
      </c>
    </row>
    <row r="29" spans="7:12" x14ac:dyDescent="0.3">
      <c r="G29" t="s">
        <v>40</v>
      </c>
      <c r="H29" s="2">
        <f t="shared" ref="H29:L31" si="1">H5*(FL+FE)*Pf + 2*H11*W + 2*H17</f>
        <v>285.83199999999999</v>
      </c>
      <c r="I29" s="2">
        <f t="shared" si="1"/>
        <v>211.44</v>
      </c>
      <c r="J29" s="2">
        <f t="shared" si="1"/>
        <v>733.93600000000004</v>
      </c>
      <c r="K29" s="2">
        <f t="shared" si="1"/>
        <v>420.85200000000009</v>
      </c>
      <c r="L29" s="2">
        <f t="shared" si="1"/>
        <v>474.27600000000007</v>
      </c>
    </row>
    <row r="30" spans="7:12" x14ac:dyDescent="0.3">
      <c r="G30" t="s">
        <v>41</v>
      </c>
      <c r="H30" s="2">
        <f t="shared" si="1"/>
        <v>573.452</v>
      </c>
      <c r="I30" s="2">
        <f t="shared" si="1"/>
        <v>447.39200000000005</v>
      </c>
      <c r="J30" s="2">
        <f t="shared" si="1"/>
        <v>684.06000000000006</v>
      </c>
      <c r="K30" s="2">
        <f t="shared" si="1"/>
        <v>705.18000000000006</v>
      </c>
      <c r="L30" s="2">
        <f t="shared" si="1"/>
        <v>266.37200000000007</v>
      </c>
    </row>
    <row r="31" spans="7:12" x14ac:dyDescent="0.3">
      <c r="G31" t="s">
        <v>42</v>
      </c>
      <c r="H31" s="2">
        <f t="shared" si="1"/>
        <v>402.05600000000004</v>
      </c>
      <c r="I31" s="2">
        <f t="shared" si="1"/>
        <v>426.14400000000006</v>
      </c>
      <c r="J31" s="2">
        <f t="shared" si="1"/>
        <v>363.01200000000006</v>
      </c>
      <c r="K31" s="2">
        <f t="shared" si="1"/>
        <v>437.81200000000007</v>
      </c>
      <c r="L31" s="2">
        <f t="shared" si="1"/>
        <v>789.53200000000015</v>
      </c>
    </row>
  </sheetData>
  <mergeCells count="9">
    <mergeCell ref="A1:O1"/>
    <mergeCell ref="G15:L15"/>
    <mergeCell ref="G3:L3"/>
    <mergeCell ref="G9:L9"/>
    <mergeCell ref="G27:L27"/>
    <mergeCell ref="G21:L21"/>
    <mergeCell ref="A3:E3"/>
    <mergeCell ref="N9:O9"/>
    <mergeCell ref="N3:O3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7CB4-D2EE-4EB2-95B9-3328BDE041C0}">
  <sheetPr codeName="Sheet3">
    <tabColor rgb="FFFFFF99"/>
  </sheetPr>
  <dimension ref="A1:I36"/>
  <sheetViews>
    <sheetView workbookViewId="0">
      <selection activeCell="J31" sqref="J31"/>
    </sheetView>
  </sheetViews>
  <sheetFormatPr defaultRowHeight="14.4" x14ac:dyDescent="0.3"/>
  <cols>
    <col min="1" max="1" width="33.33203125" customWidth="1"/>
    <col min="2" max="9" width="15.77734375" customWidth="1"/>
  </cols>
  <sheetData>
    <row r="1" spans="1:9" ht="21" x14ac:dyDescent="0.4">
      <c r="A1" s="117" t="s">
        <v>53</v>
      </c>
      <c r="B1" s="117"/>
      <c r="C1" s="117"/>
      <c r="D1" s="117"/>
      <c r="E1" s="117"/>
      <c r="F1" s="117"/>
      <c r="G1" s="117"/>
      <c r="H1" s="117"/>
      <c r="I1" s="117"/>
    </row>
    <row r="3" spans="1:9" ht="18" x14ac:dyDescent="0.35">
      <c r="A3" s="118" t="s">
        <v>54</v>
      </c>
      <c r="B3" s="118"/>
      <c r="C3" s="118"/>
      <c r="D3" s="118"/>
      <c r="E3" s="118"/>
      <c r="F3" s="118"/>
      <c r="G3" s="118"/>
      <c r="H3" s="5"/>
      <c r="I3" s="5"/>
    </row>
    <row r="4" spans="1:9" x14ac:dyDescent="0.3">
      <c r="A4" t="s">
        <v>89</v>
      </c>
      <c r="B4" t="s">
        <v>35</v>
      </c>
      <c r="C4" t="s">
        <v>36</v>
      </c>
      <c r="D4" t="s">
        <v>37</v>
      </c>
      <c r="E4" t="s">
        <v>38</v>
      </c>
      <c r="F4" t="s">
        <v>39</v>
      </c>
      <c r="G4" t="s">
        <v>55</v>
      </c>
    </row>
    <row r="5" spans="1:9" x14ac:dyDescent="0.3">
      <c r="A5" t="s">
        <v>40</v>
      </c>
      <c r="B5" s="2">
        <f>DATA!H23</f>
        <v>16.909666666666666</v>
      </c>
      <c r="C5" s="2">
        <f>DATA!I23</f>
        <v>13.81</v>
      </c>
      <c r="D5" s="2">
        <f>DATA!J23</f>
        <v>35.580666666666673</v>
      </c>
      <c r="E5" s="2">
        <f>DATA!K23</f>
        <v>22.535500000000003</v>
      </c>
      <c r="F5" s="2">
        <f>DATA!L23</f>
        <v>24.761500000000002</v>
      </c>
      <c r="G5" s="55">
        <v>0</v>
      </c>
    </row>
    <row r="6" spans="1:9" x14ac:dyDescent="0.3">
      <c r="A6" t="s">
        <v>41</v>
      </c>
      <c r="B6" s="2">
        <f>DATA!H24</f>
        <v>28.893833333333333</v>
      </c>
      <c r="C6" s="2">
        <f>DATA!I24</f>
        <v>23.641333333333336</v>
      </c>
      <c r="D6" s="2">
        <f>DATA!J24</f>
        <v>33.502499999999998</v>
      </c>
      <c r="E6" s="2">
        <f>DATA!K24</f>
        <v>34.382500000000007</v>
      </c>
      <c r="F6" s="2">
        <f>DATA!L24</f>
        <v>16.098833333333339</v>
      </c>
      <c r="G6" s="55">
        <v>0</v>
      </c>
    </row>
    <row r="7" spans="1:9" x14ac:dyDescent="0.3">
      <c r="A7" t="s">
        <v>42</v>
      </c>
      <c r="B7" s="2">
        <f>DATA!H25</f>
        <v>21.752333333333336</v>
      </c>
      <c r="C7" s="2">
        <f>DATA!I25</f>
        <v>22.756000000000004</v>
      </c>
      <c r="D7" s="2">
        <f>DATA!J25</f>
        <v>20.125500000000002</v>
      </c>
      <c r="E7" s="2">
        <f>DATA!K25</f>
        <v>23.24216666666667</v>
      </c>
      <c r="F7" s="2">
        <f>DATA!L25</f>
        <v>37.897166666666671</v>
      </c>
      <c r="G7" s="55">
        <v>0</v>
      </c>
    </row>
    <row r="8" spans="1:9" x14ac:dyDescent="0.3">
      <c r="A8" t="s">
        <v>55</v>
      </c>
      <c r="B8" s="55">
        <f>[0]!M</f>
        <v>9999</v>
      </c>
      <c r="C8" s="55">
        <f>[0]!M</f>
        <v>9999</v>
      </c>
      <c r="D8" s="55">
        <f>[0]!M</f>
        <v>9999</v>
      </c>
      <c r="E8" s="55">
        <f>[0]!M</f>
        <v>9999</v>
      </c>
      <c r="F8" s="55">
        <f>[0]!M</f>
        <v>9999</v>
      </c>
      <c r="G8" s="55">
        <v>0</v>
      </c>
    </row>
    <row r="10" spans="1:9" ht="18" x14ac:dyDescent="0.35">
      <c r="A10" s="119" t="s">
        <v>56</v>
      </c>
      <c r="B10" s="119"/>
      <c r="C10" s="119"/>
      <c r="D10" s="119"/>
      <c r="E10" s="119"/>
      <c r="F10" s="119"/>
      <c r="G10" s="119"/>
      <c r="H10" s="54"/>
      <c r="I10" s="54"/>
    </row>
    <row r="11" spans="1:9" ht="15" thickBot="1" x14ac:dyDescent="0.35">
      <c r="A11" s="47" t="s">
        <v>89</v>
      </c>
      <c r="B11" s="39" t="s">
        <v>35</v>
      </c>
      <c r="C11" s="39" t="s">
        <v>36</v>
      </c>
      <c r="D11" s="39" t="s">
        <v>37</v>
      </c>
      <c r="E11" s="39" t="s">
        <v>38</v>
      </c>
      <c r="F11" s="39" t="s">
        <v>39</v>
      </c>
      <c r="G11" s="40" t="s">
        <v>55</v>
      </c>
      <c r="H11" s="53" t="s">
        <v>68</v>
      </c>
      <c r="I11" s="57" t="s">
        <v>57</v>
      </c>
    </row>
    <row r="12" spans="1:9" x14ac:dyDescent="0.3">
      <c r="A12" s="48" t="s">
        <v>40</v>
      </c>
      <c r="B12" s="11">
        <v>140</v>
      </c>
      <c r="C12" s="11">
        <v>60</v>
      </c>
      <c r="D12" s="11">
        <v>0</v>
      </c>
      <c r="E12" s="11">
        <v>50</v>
      </c>
      <c r="F12" s="11">
        <v>0</v>
      </c>
      <c r="G12" s="17">
        <v>0</v>
      </c>
      <c r="H12" s="19">
        <f>SUM(B12:G12)</f>
        <v>250</v>
      </c>
      <c r="I12" s="59">
        <f>DATA!O5</f>
        <v>250</v>
      </c>
    </row>
    <row r="13" spans="1:9" x14ac:dyDescent="0.3">
      <c r="A13" s="49" t="s">
        <v>41</v>
      </c>
      <c r="B13" s="13">
        <v>0</v>
      </c>
      <c r="C13" s="13">
        <v>60</v>
      </c>
      <c r="D13" s="13">
        <v>0</v>
      </c>
      <c r="E13" s="13">
        <v>0</v>
      </c>
      <c r="F13" s="13">
        <v>90</v>
      </c>
      <c r="G13" s="18">
        <v>0</v>
      </c>
      <c r="H13" s="19">
        <f>SUM(B13:G13)</f>
        <v>150</v>
      </c>
      <c r="I13" s="59">
        <f>DATA!O6</f>
        <v>150</v>
      </c>
    </row>
    <row r="14" spans="1:9" x14ac:dyDescent="0.3">
      <c r="A14" s="49" t="s">
        <v>42</v>
      </c>
      <c r="B14" s="13">
        <v>0</v>
      </c>
      <c r="C14" s="13">
        <v>0</v>
      </c>
      <c r="D14" s="13">
        <v>150</v>
      </c>
      <c r="E14" s="13">
        <v>50</v>
      </c>
      <c r="F14" s="13">
        <v>0</v>
      </c>
      <c r="G14" s="18">
        <v>0</v>
      </c>
      <c r="H14" s="19">
        <f>SUM(B14:G14)</f>
        <v>200</v>
      </c>
      <c r="I14" s="59">
        <f>DATA!O7</f>
        <v>200</v>
      </c>
    </row>
    <row r="15" spans="1:9" x14ac:dyDescent="0.3">
      <c r="A15" s="50" t="s">
        <v>55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8">
        <v>0</v>
      </c>
      <c r="H15" s="62">
        <f>SUM(B15:G15)</f>
        <v>0</v>
      </c>
      <c r="I15" s="61">
        <v>0</v>
      </c>
    </row>
    <row r="16" spans="1:9" x14ac:dyDescent="0.3">
      <c r="A16" s="51" t="s">
        <v>69</v>
      </c>
      <c r="B16" s="15">
        <f t="shared" ref="B16:G16" si="0">SUM(B12:B15)</f>
        <v>140</v>
      </c>
      <c r="C16" s="15">
        <f t="shared" si="0"/>
        <v>120</v>
      </c>
      <c r="D16" s="15">
        <f t="shared" si="0"/>
        <v>150</v>
      </c>
      <c r="E16" s="15">
        <f t="shared" si="0"/>
        <v>100</v>
      </c>
      <c r="F16" s="15">
        <f t="shared" si="0"/>
        <v>90</v>
      </c>
      <c r="G16" s="63">
        <f t="shared" si="0"/>
        <v>0</v>
      </c>
      <c r="H16" s="20"/>
      <c r="I16" s="20"/>
    </row>
    <row r="17" spans="1:9" ht="15" thickBot="1" x14ac:dyDescent="0.35">
      <c r="A17" s="52" t="s">
        <v>58</v>
      </c>
      <c r="B17" s="16">
        <f>DATA!O11</f>
        <v>140</v>
      </c>
      <c r="C17" s="16">
        <f>DATA!O12</f>
        <v>120</v>
      </c>
      <c r="D17" s="16">
        <f>DATA!O13</f>
        <v>150</v>
      </c>
      <c r="E17" s="16">
        <f>DATA!O14</f>
        <v>100</v>
      </c>
      <c r="F17" s="16">
        <f>DATA!O15</f>
        <v>90</v>
      </c>
      <c r="G17" s="60">
        <f>MAX(0,SUM(DATA!O5:O7)-SUM(DATA!O11:O15))</f>
        <v>0</v>
      </c>
      <c r="H17" s="58"/>
      <c r="I17" s="56"/>
    </row>
    <row r="19" spans="1:9" ht="18.600000000000001" thickBot="1" x14ac:dyDescent="0.4">
      <c r="A19" s="120" t="s">
        <v>59</v>
      </c>
      <c r="B19" s="120"/>
      <c r="C19" s="120"/>
      <c r="D19" s="9"/>
      <c r="E19" s="9"/>
      <c r="F19" s="9"/>
      <c r="G19" s="9"/>
      <c r="H19" s="9"/>
      <c r="I19" s="9"/>
    </row>
    <row r="20" spans="1:9" ht="16.2" thickBot="1" x14ac:dyDescent="0.35">
      <c r="A20" s="41" t="s">
        <v>60</v>
      </c>
      <c r="B20" s="42">
        <f>SUMPRODUCT(B5:G8,B12:G15)</f>
        <v>11371.036666666669</v>
      </c>
    </row>
    <row r="22" spans="1:9" ht="18" x14ac:dyDescent="0.35">
      <c r="A22" s="122" t="s">
        <v>61</v>
      </c>
      <c r="B22" s="122"/>
      <c r="D22" s="5"/>
      <c r="E22" s="5"/>
      <c r="F22" s="5"/>
      <c r="G22" s="5"/>
      <c r="H22" s="5"/>
      <c r="I22" s="5"/>
    </row>
    <row r="23" spans="1:9" x14ac:dyDescent="0.3">
      <c r="A23" s="7" t="s">
        <v>62</v>
      </c>
      <c r="B23" s="22">
        <f>SUM(DATA!O5:O7)</f>
        <v>600</v>
      </c>
      <c r="C23" s="21" t="s">
        <v>24</v>
      </c>
    </row>
    <row r="24" spans="1:9" x14ac:dyDescent="0.3">
      <c r="A24" s="7" t="s">
        <v>63</v>
      </c>
      <c r="B24" s="22">
        <f>SUM(DATA!O11:O15)</f>
        <v>600</v>
      </c>
      <c r="C24" s="21" t="s">
        <v>24</v>
      </c>
    </row>
    <row r="25" spans="1:9" x14ac:dyDescent="0.3">
      <c r="A25" s="7" t="s">
        <v>64</v>
      </c>
      <c r="B25" s="22">
        <f>MAX(0,B24-B23)</f>
        <v>0</v>
      </c>
      <c r="C25" s="21" t="s">
        <v>66</v>
      </c>
    </row>
    <row r="26" spans="1:9" ht="15" thickBot="1" x14ac:dyDescent="0.35">
      <c r="A26" s="43" t="s">
        <v>65</v>
      </c>
      <c r="B26" s="44">
        <f>MAX(0,B23-B24)</f>
        <v>0</v>
      </c>
      <c r="C26" s="21" t="s">
        <v>67</v>
      </c>
    </row>
    <row r="28" spans="1:9" ht="18" x14ac:dyDescent="0.35">
      <c r="A28" s="121" t="s">
        <v>91</v>
      </c>
      <c r="B28" s="121"/>
      <c r="C28" s="121"/>
      <c r="D28" s="121"/>
      <c r="E28" s="121"/>
      <c r="F28" s="121"/>
      <c r="G28" s="121"/>
    </row>
    <row r="29" spans="1:9" x14ac:dyDescent="0.3">
      <c r="A29" t="s">
        <v>92</v>
      </c>
      <c r="B29" t="s">
        <v>35</v>
      </c>
      <c r="C29" t="s">
        <v>36</v>
      </c>
      <c r="D29" t="s">
        <v>37</v>
      </c>
      <c r="E29" t="s">
        <v>38</v>
      </c>
      <c r="F29" t="s">
        <v>39</v>
      </c>
      <c r="G29" t="s">
        <v>80</v>
      </c>
    </row>
    <row r="30" spans="1:9" x14ac:dyDescent="0.3">
      <c r="A30" t="s">
        <v>40</v>
      </c>
      <c r="B30" s="64">
        <f>IF(B12&gt;0,CEILING(B12,Q)/Q,0)</f>
        <v>6</v>
      </c>
      <c r="C30" s="64">
        <f t="shared" ref="B30:F32" si="1">IF(C12&gt;0,CEILING(C12,Q)/Q,0)</f>
        <v>3</v>
      </c>
      <c r="D30" s="64">
        <f t="shared" si="1"/>
        <v>0</v>
      </c>
      <c r="E30" s="64">
        <f t="shared" si="1"/>
        <v>3</v>
      </c>
      <c r="F30" s="64">
        <f t="shared" si="1"/>
        <v>0</v>
      </c>
      <c r="G30" s="64">
        <f>SUM(B30:F30)</f>
        <v>12</v>
      </c>
    </row>
    <row r="31" spans="1:9" x14ac:dyDescent="0.3">
      <c r="A31" t="s">
        <v>41</v>
      </c>
      <c r="B31" s="64">
        <f t="shared" si="1"/>
        <v>0</v>
      </c>
      <c r="C31" s="64">
        <f t="shared" si="1"/>
        <v>3</v>
      </c>
      <c r="D31" s="64">
        <f t="shared" si="1"/>
        <v>0</v>
      </c>
      <c r="E31" s="64">
        <f t="shared" si="1"/>
        <v>0</v>
      </c>
      <c r="F31" s="64">
        <f t="shared" si="1"/>
        <v>4</v>
      </c>
      <c r="G31" s="64">
        <f>SUM(B31:F31)</f>
        <v>7</v>
      </c>
    </row>
    <row r="32" spans="1:9" x14ac:dyDescent="0.3">
      <c r="A32" t="s">
        <v>42</v>
      </c>
      <c r="B32" s="64">
        <f t="shared" si="1"/>
        <v>0</v>
      </c>
      <c r="C32" s="64">
        <f t="shared" si="1"/>
        <v>0</v>
      </c>
      <c r="D32" s="64">
        <f t="shared" si="1"/>
        <v>7</v>
      </c>
      <c r="E32" s="64">
        <f t="shared" si="1"/>
        <v>3</v>
      </c>
      <c r="F32" s="64">
        <f t="shared" si="1"/>
        <v>0</v>
      </c>
      <c r="G32" s="64">
        <f>SUM(B32:F32)</f>
        <v>10</v>
      </c>
    </row>
    <row r="33" spans="1:7" x14ac:dyDescent="0.3">
      <c r="A33" t="s">
        <v>81</v>
      </c>
      <c r="B33" s="64">
        <f>SUM(B30:B32)</f>
        <v>6</v>
      </c>
      <c r="C33" s="64">
        <f>SUM(C30:C32)</f>
        <v>6</v>
      </c>
      <c r="D33" s="64">
        <f>SUM(D30:D32)</f>
        <v>7</v>
      </c>
      <c r="E33" s="64">
        <f>SUM(E30:E32)</f>
        <v>6</v>
      </c>
      <c r="F33" s="64">
        <f>SUM(F30:F32)</f>
        <v>4</v>
      </c>
      <c r="G33" s="75">
        <f>SUM(B33:F33)</f>
        <v>29</v>
      </c>
    </row>
    <row r="35" spans="1:7" x14ac:dyDescent="0.3">
      <c r="A35" s="65" t="s">
        <v>93</v>
      </c>
      <c r="B35" s="66">
        <f>SUM(B30:F32)</f>
        <v>29</v>
      </c>
      <c r="C35" s="65" t="s">
        <v>94</v>
      </c>
    </row>
    <row r="36" spans="1:7" x14ac:dyDescent="0.3">
      <c r="A36" s="65" t="s">
        <v>95</v>
      </c>
      <c r="B36" s="67">
        <f>SUMPRODUCT(B30:F32,DATA!H29:L31)+O*SUM(B12:F14)</f>
        <v>12874.052000000001</v>
      </c>
      <c r="C36" s="65" t="s">
        <v>96</v>
      </c>
    </row>
  </sheetData>
  <mergeCells count="6">
    <mergeCell ref="A1:I1"/>
    <mergeCell ref="A3:G3"/>
    <mergeCell ref="A10:G10"/>
    <mergeCell ref="A19:C19"/>
    <mergeCell ref="A28:G28"/>
    <mergeCell ref="A22:B22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0D772-1F27-4EF1-B490-4B5972F3BB2E}">
  <sheetPr codeName="Sheet4">
    <tabColor theme="6" tint="0.59999389629810485"/>
  </sheetPr>
  <dimension ref="B1:F23"/>
  <sheetViews>
    <sheetView zoomScale="101" workbookViewId="0">
      <selection activeCell="D7" sqref="D7"/>
    </sheetView>
  </sheetViews>
  <sheetFormatPr defaultRowHeight="14.4" x14ac:dyDescent="0.3"/>
  <cols>
    <col min="2" max="2" width="38.5546875" customWidth="1"/>
    <col min="3" max="4" width="17.5546875" customWidth="1"/>
    <col min="5" max="5" width="38.109375" customWidth="1"/>
    <col min="6" max="6" width="18.77734375" customWidth="1"/>
    <col min="7" max="7" width="17.5546875" customWidth="1"/>
  </cols>
  <sheetData>
    <row r="1" spans="2:6" ht="21" x14ac:dyDescent="0.4">
      <c r="B1" s="117" t="s">
        <v>128</v>
      </c>
      <c r="C1" s="117"/>
      <c r="D1" s="117"/>
      <c r="E1" s="117"/>
      <c r="F1" s="117"/>
    </row>
    <row r="4" spans="2:6" ht="15.6" x14ac:dyDescent="0.3">
      <c r="B4" s="86" t="s">
        <v>135</v>
      </c>
    </row>
    <row r="7" spans="2:6" x14ac:dyDescent="0.3">
      <c r="B7" s="78" t="s">
        <v>129</v>
      </c>
      <c r="C7" s="85" t="s">
        <v>106</v>
      </c>
    </row>
    <row r="9" spans="2:6" ht="18.600000000000001" thickBot="1" x14ac:dyDescent="0.4">
      <c r="B9" s="76" t="s">
        <v>134</v>
      </c>
      <c r="C9" s="77"/>
    </row>
    <row r="10" spans="2:6" ht="16.2" thickTop="1" x14ac:dyDescent="0.3">
      <c r="B10" s="87" t="s">
        <v>109</v>
      </c>
      <c r="C10" s="88">
        <v>3.2</v>
      </c>
      <c r="E10" s="123" t="s">
        <v>130</v>
      </c>
      <c r="F10" s="123"/>
    </row>
    <row r="11" spans="2:6" ht="15.6" x14ac:dyDescent="0.3">
      <c r="B11" s="89" t="s">
        <v>110</v>
      </c>
      <c r="C11" s="90">
        <v>250</v>
      </c>
    </row>
    <row r="12" spans="2:6" ht="18.600000000000001" thickBot="1" x14ac:dyDescent="0.4">
      <c r="B12" s="89" t="s">
        <v>111</v>
      </c>
      <c r="C12" s="90">
        <v>150</v>
      </c>
      <c r="E12" s="76" t="s">
        <v>136</v>
      </c>
      <c r="F12" s="76"/>
    </row>
    <row r="13" spans="2:6" ht="16.2" thickTop="1" x14ac:dyDescent="0.3">
      <c r="B13" s="89" t="s">
        <v>112</v>
      </c>
      <c r="C13" s="90">
        <v>200</v>
      </c>
      <c r="E13" s="87" t="s">
        <v>72</v>
      </c>
      <c r="F13" s="92">
        <f>RESULTS!B4</f>
        <v>11371.036666666669</v>
      </c>
    </row>
    <row r="14" spans="2:6" ht="15.6" x14ac:dyDescent="0.3">
      <c r="B14" s="89" t="s">
        <v>113</v>
      </c>
      <c r="C14" s="91">
        <f>SUM(C11:C13)</f>
        <v>600</v>
      </c>
      <c r="E14" s="89" t="s">
        <v>73</v>
      </c>
      <c r="F14" s="93">
        <f>RESULTS!B5</f>
        <v>600</v>
      </c>
    </row>
    <row r="15" spans="2:6" ht="15.6" x14ac:dyDescent="0.3">
      <c r="B15" s="89" t="s">
        <v>114</v>
      </c>
      <c r="C15" s="90">
        <v>140</v>
      </c>
      <c r="E15" s="89" t="s">
        <v>74</v>
      </c>
      <c r="F15" s="94">
        <f>RESULTS!B6</f>
        <v>18.95172777777778</v>
      </c>
    </row>
    <row r="16" spans="2:6" ht="15.6" x14ac:dyDescent="0.3">
      <c r="B16" s="89" t="s">
        <v>115</v>
      </c>
      <c r="C16" s="90">
        <v>120</v>
      </c>
      <c r="E16" s="89" t="s">
        <v>75</v>
      </c>
      <c r="F16" s="93">
        <f>RESULTS!B7</f>
        <v>29</v>
      </c>
    </row>
    <row r="17" spans="2:6" ht="15.6" x14ac:dyDescent="0.3">
      <c r="B17" s="89" t="s">
        <v>116</v>
      </c>
      <c r="C17" s="90">
        <v>150</v>
      </c>
      <c r="E17" s="89" t="s">
        <v>131</v>
      </c>
      <c r="F17" s="95">
        <f>RESULTS!B8</f>
        <v>0.86206896551724133</v>
      </c>
    </row>
    <row r="18" spans="2:6" ht="15.6" x14ac:dyDescent="0.3">
      <c r="B18" s="89" t="s">
        <v>117</v>
      </c>
      <c r="C18" s="90">
        <v>100</v>
      </c>
      <c r="E18" s="89" t="s">
        <v>77</v>
      </c>
      <c r="F18" s="93">
        <f>RESULTS!B9</f>
        <v>0</v>
      </c>
    </row>
    <row r="19" spans="2:6" ht="15.6" x14ac:dyDescent="0.3">
      <c r="B19" s="89" t="s">
        <v>118</v>
      </c>
      <c r="C19" s="90">
        <v>90</v>
      </c>
      <c r="E19" s="89" t="s">
        <v>78</v>
      </c>
      <c r="F19" s="93">
        <f>RESULTS!B10</f>
        <v>0</v>
      </c>
    </row>
    <row r="20" spans="2:6" ht="15.6" x14ac:dyDescent="0.3">
      <c r="B20" s="89" t="s">
        <v>119</v>
      </c>
      <c r="C20" s="91">
        <f>SUM(C15:C19)</f>
        <v>600</v>
      </c>
      <c r="E20" s="89" t="s">
        <v>132</v>
      </c>
      <c r="F20" s="96">
        <f>RESULTS!B40</f>
        <v>12874.052000000001</v>
      </c>
    </row>
    <row r="21" spans="2:6" ht="15.6" x14ac:dyDescent="0.3">
      <c r="B21" s="89" t="s">
        <v>120</v>
      </c>
      <c r="C21" s="91">
        <f>C14-C20</f>
        <v>0</v>
      </c>
      <c r="E21" s="89" t="s">
        <v>133</v>
      </c>
      <c r="F21" s="95">
        <f>RESULTS!B42</f>
        <v>0.13217927066749405</v>
      </c>
    </row>
    <row r="22" spans="2:6" ht="15.6" x14ac:dyDescent="0.3">
      <c r="B22" s="89" t="s">
        <v>158</v>
      </c>
      <c r="C22" s="90">
        <v>15</v>
      </c>
    </row>
    <row r="23" spans="2:6" ht="15.6" x14ac:dyDescent="0.3">
      <c r="B23" s="89" t="s">
        <v>159</v>
      </c>
      <c r="C23" s="90">
        <v>24</v>
      </c>
    </row>
  </sheetData>
  <mergeCells count="2">
    <mergeCell ref="E10:F10"/>
    <mergeCell ref="B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Sheet4.PickScenario">
                <anchor moveWithCells="1">
                  <from>
                    <xdr:col>2</xdr:col>
                    <xdr:colOff>7620</xdr:colOff>
                    <xdr:row>2</xdr:row>
                    <xdr:rowOff>106680</xdr:rowOff>
                  </from>
                  <to>
                    <xdr:col>3</xdr:col>
                    <xdr:colOff>0</xdr:colOff>
                    <xdr:row>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heet4.RunSolverScripted" altText="Run Solver">
                <anchor moveWithCells="1">
                  <from>
                    <xdr:col>3</xdr:col>
                    <xdr:colOff>106680</xdr:colOff>
                    <xdr:row>2</xdr:row>
                    <xdr:rowOff>106680</xdr:rowOff>
                  </from>
                  <to>
                    <xdr:col>4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heet4.ResetModel">
                <anchor moveWithCells="1">
                  <from>
                    <xdr:col>4</xdr:col>
                    <xdr:colOff>205740</xdr:colOff>
                    <xdr:row>2</xdr:row>
                    <xdr:rowOff>106680</xdr:rowOff>
                  </from>
                  <to>
                    <xdr:col>4</xdr:col>
                    <xdr:colOff>1394460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60188-13F1-4D91-9EC0-F02FCFB951A8}">
  <sheetPr codeName="Sheet5">
    <tabColor theme="5" tint="0.59999389629810485"/>
  </sheetPr>
  <dimension ref="A1:M30"/>
  <sheetViews>
    <sheetView zoomScale="91" workbookViewId="0">
      <selection activeCell="C26" sqref="C26"/>
    </sheetView>
  </sheetViews>
  <sheetFormatPr defaultRowHeight="14.4" x14ac:dyDescent="0.3"/>
  <cols>
    <col min="1" max="1" width="32.44140625" customWidth="1"/>
    <col min="2" max="4" width="17.5546875" customWidth="1"/>
    <col min="5" max="5" width="16.77734375" customWidth="1"/>
  </cols>
  <sheetData>
    <row r="1" spans="1:13" ht="21" x14ac:dyDescent="0.4">
      <c r="A1" s="117" t="s">
        <v>104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</row>
    <row r="3" spans="1:13" ht="18" x14ac:dyDescent="0.35">
      <c r="A3" s="5" t="s">
        <v>105</v>
      </c>
    </row>
    <row r="4" spans="1:13" x14ac:dyDescent="0.3">
      <c r="A4" s="79" t="s">
        <v>2</v>
      </c>
      <c r="B4" s="80" t="s">
        <v>106</v>
      </c>
      <c r="C4" s="80" t="s">
        <v>107</v>
      </c>
      <c r="D4" s="80" t="s">
        <v>108</v>
      </c>
      <c r="E4" s="80" t="s">
        <v>154</v>
      </c>
    </row>
    <row r="5" spans="1:13" x14ac:dyDescent="0.3">
      <c r="A5" s="7" t="s">
        <v>109</v>
      </c>
      <c r="B5" s="81">
        <v>3.2</v>
      </c>
      <c r="C5" s="81">
        <v>3.2</v>
      </c>
      <c r="D5" s="81">
        <v>3.68</v>
      </c>
      <c r="E5" s="81">
        <v>3.68</v>
      </c>
    </row>
    <row r="6" spans="1:13" x14ac:dyDescent="0.3">
      <c r="A6" s="7" t="s">
        <v>110</v>
      </c>
      <c r="B6" s="82">
        <v>250</v>
      </c>
      <c r="C6" s="82">
        <v>315</v>
      </c>
      <c r="D6" s="82">
        <v>250</v>
      </c>
      <c r="E6" s="82">
        <v>315</v>
      </c>
    </row>
    <row r="7" spans="1:13" x14ac:dyDescent="0.3">
      <c r="A7" s="7" t="s">
        <v>111</v>
      </c>
      <c r="B7" s="82">
        <v>150</v>
      </c>
      <c r="C7" s="82">
        <v>190</v>
      </c>
      <c r="D7" s="82">
        <v>150</v>
      </c>
      <c r="E7" s="82">
        <v>190</v>
      </c>
    </row>
    <row r="8" spans="1:13" x14ac:dyDescent="0.3">
      <c r="A8" s="7" t="s">
        <v>112</v>
      </c>
      <c r="B8" s="82">
        <v>200</v>
      </c>
      <c r="C8" s="82">
        <v>250</v>
      </c>
      <c r="D8" s="82">
        <v>200</v>
      </c>
      <c r="E8" s="82">
        <v>250</v>
      </c>
    </row>
    <row r="9" spans="1:13" x14ac:dyDescent="0.3">
      <c r="A9" s="7" t="s">
        <v>113</v>
      </c>
      <c r="B9" s="83">
        <f>SUM(B6:B8)</f>
        <v>600</v>
      </c>
      <c r="C9" s="83">
        <f t="shared" ref="C9:D9" si="0">SUM(C6:C8)</f>
        <v>755</v>
      </c>
      <c r="D9" s="83">
        <f t="shared" si="0"/>
        <v>600</v>
      </c>
      <c r="E9" s="83">
        <f>SUM(E6:E8)</f>
        <v>755</v>
      </c>
    </row>
    <row r="10" spans="1:13" x14ac:dyDescent="0.3">
      <c r="A10" s="7" t="s">
        <v>114</v>
      </c>
      <c r="B10" s="82">
        <v>140</v>
      </c>
      <c r="C10" s="82">
        <v>182</v>
      </c>
      <c r="D10" s="82">
        <v>140</v>
      </c>
      <c r="E10" s="82">
        <v>182</v>
      </c>
    </row>
    <row r="11" spans="1:13" x14ac:dyDescent="0.3">
      <c r="A11" s="7" t="s">
        <v>115</v>
      </c>
      <c r="B11" s="82">
        <v>120</v>
      </c>
      <c r="C11" s="82">
        <v>144</v>
      </c>
      <c r="D11" s="82">
        <v>120</v>
      </c>
      <c r="E11" s="82">
        <v>144</v>
      </c>
    </row>
    <row r="12" spans="1:13" x14ac:dyDescent="0.3">
      <c r="A12" s="7" t="s">
        <v>116</v>
      </c>
      <c r="B12" s="82">
        <v>150</v>
      </c>
      <c r="C12" s="82">
        <v>180</v>
      </c>
      <c r="D12" s="82">
        <v>150</v>
      </c>
      <c r="E12" s="82">
        <v>180</v>
      </c>
    </row>
    <row r="13" spans="1:13" x14ac:dyDescent="0.3">
      <c r="A13" s="7" t="s">
        <v>117</v>
      </c>
      <c r="B13" s="82">
        <v>100</v>
      </c>
      <c r="C13" s="82">
        <v>100</v>
      </c>
      <c r="D13" s="82">
        <v>100</v>
      </c>
      <c r="E13" s="82">
        <v>100</v>
      </c>
    </row>
    <row r="14" spans="1:13" x14ac:dyDescent="0.3">
      <c r="A14" s="7" t="s">
        <v>118</v>
      </c>
      <c r="B14" s="82">
        <v>90</v>
      </c>
      <c r="C14" s="82">
        <v>110</v>
      </c>
      <c r="D14" s="82">
        <v>90</v>
      </c>
      <c r="E14" s="82">
        <v>110</v>
      </c>
    </row>
    <row r="15" spans="1:13" x14ac:dyDescent="0.3">
      <c r="A15" s="7" t="s">
        <v>119</v>
      </c>
      <c r="B15" s="83">
        <f>SUM(B10:B14)</f>
        <v>600</v>
      </c>
      <c r="C15" s="83">
        <f t="shared" ref="C15:D15" si="1">SUM(C10:C14)</f>
        <v>716</v>
      </c>
      <c r="D15" s="83">
        <f t="shared" si="1"/>
        <v>600</v>
      </c>
      <c r="E15" s="83">
        <f>SUM(E10:E14)</f>
        <v>716</v>
      </c>
    </row>
    <row r="16" spans="1:13" x14ac:dyDescent="0.3">
      <c r="A16" s="7" t="s">
        <v>120</v>
      </c>
      <c r="B16" s="83">
        <f>B9-B15</f>
        <v>0</v>
      </c>
      <c r="C16" s="83">
        <f t="shared" ref="C16:D16" si="2">C9-C15</f>
        <v>39</v>
      </c>
      <c r="D16" s="83">
        <f t="shared" si="2"/>
        <v>0</v>
      </c>
      <c r="E16" s="83">
        <f>E9-E15</f>
        <v>39</v>
      </c>
    </row>
    <row r="18" spans="1:5" x14ac:dyDescent="0.3">
      <c r="A18" s="124" t="s">
        <v>157</v>
      </c>
      <c r="B18" s="124"/>
      <c r="C18" s="124"/>
      <c r="D18" s="124"/>
      <c r="E18" s="124"/>
    </row>
    <row r="20" spans="1:5" ht="18" x14ac:dyDescent="0.35">
      <c r="A20" s="122" t="s">
        <v>121</v>
      </c>
      <c r="B20" s="122"/>
      <c r="C20" s="122"/>
      <c r="D20" s="122"/>
    </row>
    <row r="21" spans="1:5" x14ac:dyDescent="0.3">
      <c r="A21" s="79" t="s">
        <v>122</v>
      </c>
      <c r="B21" s="80" t="s">
        <v>106</v>
      </c>
      <c r="C21" s="80" t="s">
        <v>107</v>
      </c>
      <c r="D21" s="80" t="s">
        <v>108</v>
      </c>
      <c r="E21" s="80" t="s">
        <v>154</v>
      </c>
    </row>
    <row r="22" spans="1:5" x14ac:dyDescent="0.3">
      <c r="A22" s="7" t="s">
        <v>123</v>
      </c>
      <c r="B22" s="84">
        <v>11371.04</v>
      </c>
      <c r="C22" s="84">
        <v>13165.76</v>
      </c>
      <c r="D22" s="84">
        <v>12319</v>
      </c>
      <c r="E22" s="84">
        <v>14248.11</v>
      </c>
    </row>
    <row r="23" spans="1:5" x14ac:dyDescent="0.3">
      <c r="A23" s="7" t="s">
        <v>124</v>
      </c>
      <c r="B23" s="84">
        <v>18.95</v>
      </c>
      <c r="C23" s="84">
        <v>18.39</v>
      </c>
      <c r="D23" s="84">
        <v>20.53</v>
      </c>
      <c r="E23" s="84">
        <v>19.899999999999999</v>
      </c>
    </row>
    <row r="24" spans="1:5" x14ac:dyDescent="0.3">
      <c r="A24" s="7" t="s">
        <v>125</v>
      </c>
      <c r="B24" s="84">
        <v>29</v>
      </c>
      <c r="C24" s="84">
        <v>33</v>
      </c>
      <c r="D24" s="84">
        <v>29</v>
      </c>
      <c r="E24" s="84">
        <v>39</v>
      </c>
    </row>
    <row r="25" spans="1:5" x14ac:dyDescent="0.3">
      <c r="A25" s="7" t="s">
        <v>126</v>
      </c>
      <c r="B25" s="84">
        <v>0</v>
      </c>
      <c r="C25" s="84">
        <v>0</v>
      </c>
      <c r="D25" s="84">
        <v>0</v>
      </c>
      <c r="E25" s="84">
        <v>0</v>
      </c>
    </row>
    <row r="26" spans="1:5" x14ac:dyDescent="0.3">
      <c r="A26" s="7" t="s">
        <v>127</v>
      </c>
      <c r="B26" s="84" t="s">
        <v>137</v>
      </c>
      <c r="C26" s="104" t="s">
        <v>138</v>
      </c>
      <c r="D26" s="84" t="s">
        <v>137</v>
      </c>
      <c r="E26" s="84" t="s">
        <v>137</v>
      </c>
    </row>
    <row r="27" spans="1:5" x14ac:dyDescent="0.3">
      <c r="C27" s="97"/>
    </row>
    <row r="28" spans="1:5" x14ac:dyDescent="0.3">
      <c r="C28" s="97"/>
    </row>
    <row r="29" spans="1:5" x14ac:dyDescent="0.3">
      <c r="C29" s="97"/>
    </row>
    <row r="30" spans="1:5" x14ac:dyDescent="0.3">
      <c r="C30" s="97"/>
    </row>
  </sheetData>
  <mergeCells count="3">
    <mergeCell ref="A20:D20"/>
    <mergeCell ref="A18:E18"/>
    <mergeCell ref="A1:M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F904E-A6B7-49D7-8439-9EC3705C436D}">
  <sheetPr codeName="Sheet6">
    <tabColor rgb="FFCC99FF"/>
  </sheetPr>
  <dimension ref="A1:G42"/>
  <sheetViews>
    <sheetView zoomScale="84" workbookViewId="0">
      <selection sqref="A1:G1"/>
    </sheetView>
  </sheetViews>
  <sheetFormatPr defaultRowHeight="14.4" x14ac:dyDescent="0.3"/>
  <cols>
    <col min="1" max="1" width="40.77734375" customWidth="1"/>
    <col min="2" max="7" width="15.77734375" customWidth="1"/>
  </cols>
  <sheetData>
    <row r="1" spans="1:7" ht="21" x14ac:dyDescent="0.4">
      <c r="A1" s="117" t="s">
        <v>70</v>
      </c>
      <c r="B1" s="117"/>
      <c r="C1" s="117"/>
      <c r="D1" s="117"/>
      <c r="E1" s="117"/>
      <c r="F1" s="117"/>
      <c r="G1" s="117"/>
    </row>
    <row r="3" spans="1:7" ht="18" x14ac:dyDescent="0.35">
      <c r="A3" s="5" t="s">
        <v>71</v>
      </c>
      <c r="B3" s="5"/>
    </row>
    <row r="4" spans="1:7" ht="18" x14ac:dyDescent="0.35">
      <c r="A4" s="7" t="s">
        <v>72</v>
      </c>
      <c r="B4" s="23">
        <f>MODEL!B20</f>
        <v>11371.036666666669</v>
      </c>
    </row>
    <row r="5" spans="1:7" x14ac:dyDescent="0.3">
      <c r="A5" s="7" t="s">
        <v>73</v>
      </c>
      <c r="B5" s="24">
        <f>SUM(MODEL!B12:F14)</f>
        <v>600</v>
      </c>
    </row>
    <row r="6" spans="1:7" x14ac:dyDescent="0.3">
      <c r="A6" s="7" t="s">
        <v>74</v>
      </c>
      <c r="B6" s="22">
        <f>B4/B5</f>
        <v>18.95172777777778</v>
      </c>
    </row>
    <row r="7" spans="1:7" x14ac:dyDescent="0.3">
      <c r="A7" s="7" t="s">
        <v>75</v>
      </c>
      <c r="B7" s="24">
        <f>MODEL!G33</f>
        <v>29</v>
      </c>
    </row>
    <row r="8" spans="1:7" x14ac:dyDescent="0.3">
      <c r="A8" s="7" t="s">
        <v>76</v>
      </c>
      <c r="B8" s="25">
        <f>B5/(B7*24)</f>
        <v>0.86206896551724133</v>
      </c>
    </row>
    <row r="9" spans="1:7" x14ac:dyDescent="0.3">
      <c r="A9" s="7" t="s">
        <v>77</v>
      </c>
      <c r="B9" s="24">
        <f>SUM(MODEL!B15:F15)</f>
        <v>0</v>
      </c>
    </row>
    <row r="10" spans="1:7" ht="15" thickBot="1" x14ac:dyDescent="0.35">
      <c r="A10" s="43" t="s">
        <v>78</v>
      </c>
      <c r="B10" s="45">
        <f>SUM(MODEL!G12:G14)</f>
        <v>0</v>
      </c>
    </row>
    <row r="12" spans="1:7" ht="18.600000000000001" thickBot="1" x14ac:dyDescent="0.4">
      <c r="A12" s="125" t="s">
        <v>79</v>
      </c>
      <c r="B12" s="125"/>
      <c r="C12" s="125"/>
      <c r="D12" s="125"/>
      <c r="E12" s="8"/>
      <c r="F12" s="8"/>
      <c r="G12" s="8"/>
    </row>
    <row r="13" spans="1:7" ht="15" thickBot="1" x14ac:dyDescent="0.35">
      <c r="A13" s="39"/>
      <c r="B13" s="39" t="s">
        <v>35</v>
      </c>
      <c r="C13" s="39" t="s">
        <v>36</v>
      </c>
      <c r="D13" s="39" t="s">
        <v>37</v>
      </c>
      <c r="E13" s="39" t="s">
        <v>38</v>
      </c>
      <c r="F13" s="40" t="s">
        <v>39</v>
      </c>
      <c r="G13" s="74" t="s">
        <v>103</v>
      </c>
    </row>
    <row r="14" spans="1:7" x14ac:dyDescent="0.3">
      <c r="A14" s="10" t="s">
        <v>40</v>
      </c>
      <c r="B14" s="26">
        <f>MODEL!B12</f>
        <v>140</v>
      </c>
      <c r="C14" s="26">
        <f>MODEL!C12</f>
        <v>60</v>
      </c>
      <c r="D14" s="26">
        <f>MODEL!D12</f>
        <v>0</v>
      </c>
      <c r="E14" s="26">
        <f>MODEL!E12</f>
        <v>50</v>
      </c>
      <c r="F14" s="29">
        <f>MODEL!F12</f>
        <v>0</v>
      </c>
      <c r="G14" s="32">
        <f>SUM(B14:F14)</f>
        <v>250</v>
      </c>
    </row>
    <row r="15" spans="1:7" x14ac:dyDescent="0.3">
      <c r="A15" s="12" t="s">
        <v>41</v>
      </c>
      <c r="B15" s="27">
        <f>MODEL!B13</f>
        <v>0</v>
      </c>
      <c r="C15" s="27">
        <f>MODEL!C13</f>
        <v>60</v>
      </c>
      <c r="D15" s="27">
        <f>MODEL!D13</f>
        <v>0</v>
      </c>
      <c r="E15" s="27">
        <f>MODEL!E13</f>
        <v>0</v>
      </c>
      <c r="F15" s="30">
        <f>MODEL!F13</f>
        <v>90</v>
      </c>
      <c r="G15" s="32">
        <f>SUM(B15:F15)</f>
        <v>150</v>
      </c>
    </row>
    <row r="16" spans="1:7" x14ac:dyDescent="0.3">
      <c r="A16" s="12" t="s">
        <v>42</v>
      </c>
      <c r="B16" s="27">
        <f>MODEL!B14</f>
        <v>0</v>
      </c>
      <c r="C16" s="27">
        <f>MODEL!C14</f>
        <v>0</v>
      </c>
      <c r="D16" s="27">
        <f>MODEL!D14</f>
        <v>150</v>
      </c>
      <c r="E16" s="27">
        <f>MODEL!E14</f>
        <v>50</v>
      </c>
      <c r="F16" s="30">
        <f>MODEL!F14</f>
        <v>0</v>
      </c>
      <c r="G16" s="32">
        <f>SUM(B16:F16)</f>
        <v>200</v>
      </c>
    </row>
    <row r="17" spans="1:7" ht="15" thickBot="1" x14ac:dyDescent="0.35">
      <c r="A17" s="73" t="s">
        <v>102</v>
      </c>
      <c r="B17" s="28">
        <f t="shared" ref="B17:G17" si="0">SUM(B14:B16)</f>
        <v>140</v>
      </c>
      <c r="C17" s="28">
        <f t="shared" si="0"/>
        <v>120</v>
      </c>
      <c r="D17" s="28">
        <f t="shared" si="0"/>
        <v>150</v>
      </c>
      <c r="E17" s="28">
        <f t="shared" si="0"/>
        <v>100</v>
      </c>
      <c r="F17" s="31">
        <f t="shared" si="0"/>
        <v>90</v>
      </c>
      <c r="G17" s="33">
        <f t="shared" si="0"/>
        <v>600</v>
      </c>
    </row>
    <row r="19" spans="1:7" ht="18.600000000000001" thickBot="1" x14ac:dyDescent="0.4">
      <c r="A19" s="125" t="s">
        <v>82</v>
      </c>
      <c r="B19" s="125"/>
      <c r="C19" s="125"/>
      <c r="D19" s="125"/>
      <c r="E19" s="8"/>
      <c r="F19" s="8"/>
      <c r="G19" s="8"/>
    </row>
    <row r="20" spans="1:7" ht="15" thickBot="1" x14ac:dyDescent="0.35">
      <c r="A20" s="39"/>
      <c r="B20" s="39" t="s">
        <v>35</v>
      </c>
      <c r="C20" s="39" t="s">
        <v>36</v>
      </c>
      <c r="D20" s="39" t="s">
        <v>37</v>
      </c>
      <c r="E20" s="39" t="s">
        <v>38</v>
      </c>
      <c r="F20" s="40" t="s">
        <v>39</v>
      </c>
      <c r="G20" s="74" t="s">
        <v>103</v>
      </c>
    </row>
    <row r="21" spans="1:7" x14ac:dyDescent="0.3">
      <c r="A21" s="10" t="s">
        <v>40</v>
      </c>
      <c r="B21" s="71">
        <f>MODEL!B30</f>
        <v>6</v>
      </c>
      <c r="C21" s="71">
        <f>MODEL!C30</f>
        <v>3</v>
      </c>
      <c r="D21" s="71">
        <f>MODEL!D30</f>
        <v>0</v>
      </c>
      <c r="E21" s="71">
        <f>MODEL!E30</f>
        <v>3</v>
      </c>
      <c r="F21" s="71">
        <f>MODEL!F30</f>
        <v>0</v>
      </c>
      <c r="G21" s="32">
        <f>MODEL!G30</f>
        <v>12</v>
      </c>
    </row>
    <row r="22" spans="1:7" x14ac:dyDescent="0.3">
      <c r="A22" s="12" t="s">
        <v>41</v>
      </c>
      <c r="B22" s="72">
        <f>MODEL!B31</f>
        <v>0</v>
      </c>
      <c r="C22" s="72">
        <f>MODEL!C31</f>
        <v>3</v>
      </c>
      <c r="D22" s="72">
        <f>MODEL!D31</f>
        <v>0</v>
      </c>
      <c r="E22" s="72">
        <f>MODEL!E31</f>
        <v>0</v>
      </c>
      <c r="F22" s="72">
        <f>MODEL!F31</f>
        <v>4</v>
      </c>
      <c r="G22" s="32">
        <f>MODEL!G31</f>
        <v>7</v>
      </c>
    </row>
    <row r="23" spans="1:7" x14ac:dyDescent="0.3">
      <c r="A23" s="12" t="s">
        <v>42</v>
      </c>
      <c r="B23" s="70">
        <f>MODEL!B32</f>
        <v>0</v>
      </c>
      <c r="C23" s="70">
        <f>MODEL!C32</f>
        <v>0</v>
      </c>
      <c r="D23" s="70">
        <f>MODEL!D32</f>
        <v>7</v>
      </c>
      <c r="E23" s="70">
        <f>MODEL!E32</f>
        <v>3</v>
      </c>
      <c r="F23" s="70">
        <f>MODEL!F32</f>
        <v>0</v>
      </c>
      <c r="G23" s="32">
        <f>MODEL!G32</f>
        <v>10</v>
      </c>
    </row>
    <row r="24" spans="1:7" ht="15" thickBot="1" x14ac:dyDescent="0.35">
      <c r="A24" s="73" t="s">
        <v>102</v>
      </c>
      <c r="B24" s="28">
        <f>MODEL!B33</f>
        <v>6</v>
      </c>
      <c r="C24" s="28">
        <f>MODEL!C33</f>
        <v>6</v>
      </c>
      <c r="D24" s="28">
        <f>MODEL!D33</f>
        <v>7</v>
      </c>
      <c r="E24" s="28">
        <f>MODEL!E33</f>
        <v>6</v>
      </c>
      <c r="F24" s="28">
        <f>MODEL!F33</f>
        <v>4</v>
      </c>
      <c r="G24" s="33">
        <f>MODEL!G33</f>
        <v>29</v>
      </c>
    </row>
    <row r="26" spans="1:7" ht="18.600000000000001" thickBot="1" x14ac:dyDescent="0.4">
      <c r="A26" s="126" t="s">
        <v>88</v>
      </c>
      <c r="B26" s="126"/>
      <c r="C26" s="126"/>
      <c r="D26" s="126"/>
      <c r="E26" s="126"/>
      <c r="F26" s="5"/>
      <c r="G26" s="5"/>
    </row>
    <row r="27" spans="1:7" x14ac:dyDescent="0.3">
      <c r="A27" s="6"/>
      <c r="B27" s="6" t="s">
        <v>35</v>
      </c>
      <c r="C27" s="6" t="s">
        <v>36</v>
      </c>
      <c r="D27" s="6" t="s">
        <v>37</v>
      </c>
      <c r="E27" s="6" t="s">
        <v>38</v>
      </c>
      <c r="F27" s="6" t="s">
        <v>39</v>
      </c>
    </row>
    <row r="28" spans="1:7" x14ac:dyDescent="0.3">
      <c r="A28" s="7" t="s">
        <v>40</v>
      </c>
      <c r="B28" s="34">
        <f t="shared" ref="B28:F30" si="1">IF(B21&gt;0,B14/(B21*24),0)</f>
        <v>0.97222222222222221</v>
      </c>
      <c r="C28" s="34">
        <f t="shared" si="1"/>
        <v>0.83333333333333337</v>
      </c>
      <c r="D28" s="34">
        <f t="shared" si="1"/>
        <v>0</v>
      </c>
      <c r="E28" s="34">
        <f t="shared" si="1"/>
        <v>0.69444444444444442</v>
      </c>
      <c r="F28" s="34">
        <f t="shared" si="1"/>
        <v>0</v>
      </c>
    </row>
    <row r="29" spans="1:7" x14ac:dyDescent="0.3">
      <c r="A29" s="7" t="s">
        <v>41</v>
      </c>
      <c r="B29" s="34">
        <f t="shared" si="1"/>
        <v>0</v>
      </c>
      <c r="C29" s="34">
        <f t="shared" si="1"/>
        <v>0.83333333333333337</v>
      </c>
      <c r="D29" s="34">
        <f t="shared" si="1"/>
        <v>0</v>
      </c>
      <c r="E29" s="34">
        <f t="shared" si="1"/>
        <v>0</v>
      </c>
      <c r="F29" s="34">
        <f t="shared" si="1"/>
        <v>0.9375</v>
      </c>
    </row>
    <row r="30" spans="1:7" ht="15" thickBot="1" x14ac:dyDescent="0.35">
      <c r="A30" s="43" t="s">
        <v>42</v>
      </c>
      <c r="B30" s="46">
        <f t="shared" si="1"/>
        <v>0</v>
      </c>
      <c r="C30" s="46">
        <f t="shared" si="1"/>
        <v>0</v>
      </c>
      <c r="D30" s="46">
        <f t="shared" si="1"/>
        <v>0.8928571428571429</v>
      </c>
      <c r="E30" s="46">
        <f t="shared" si="1"/>
        <v>0.69444444444444442</v>
      </c>
      <c r="F30" s="46">
        <f t="shared" si="1"/>
        <v>0</v>
      </c>
    </row>
    <row r="32" spans="1:7" ht="18" x14ac:dyDescent="0.35">
      <c r="A32" s="118" t="s">
        <v>83</v>
      </c>
      <c r="B32" s="118"/>
      <c r="C32" s="118"/>
      <c r="D32" s="118"/>
      <c r="E32" s="118"/>
      <c r="F32" s="5"/>
      <c r="G32" s="5"/>
    </row>
    <row r="33" spans="1:5" x14ac:dyDescent="0.3">
      <c r="A33" s="7" t="s">
        <v>84</v>
      </c>
      <c r="B33" s="22">
        <f>SUMPRODUCT(MODEL!B5:F5,MODEL!B12:F12)</f>
        <v>4322.7283333333335</v>
      </c>
    </row>
    <row r="34" spans="1:5" x14ac:dyDescent="0.3">
      <c r="A34" s="7" t="s">
        <v>85</v>
      </c>
      <c r="B34" s="22">
        <f>SUMPRODUCT(MODEL!B6:F6,MODEL!B13:F13)</f>
        <v>2867.3750000000005</v>
      </c>
    </row>
    <row r="35" spans="1:5" ht="15" thickBot="1" x14ac:dyDescent="0.35">
      <c r="A35" s="35" t="s">
        <v>86</v>
      </c>
      <c r="B35" s="36">
        <f>SUMPRODUCT(MODEL!B7:F7,MODEL!B14:F14)</f>
        <v>4180.9333333333343</v>
      </c>
    </row>
    <row r="36" spans="1:5" ht="15" thickBot="1" x14ac:dyDescent="0.35">
      <c r="A36" s="37" t="s">
        <v>87</v>
      </c>
      <c r="B36" s="38">
        <f>SUM(B33:B35)</f>
        <v>11371.036666666669</v>
      </c>
    </row>
    <row r="38" spans="1:5" ht="18" x14ac:dyDescent="0.35">
      <c r="A38" s="121" t="s">
        <v>97</v>
      </c>
      <c r="B38" s="121"/>
      <c r="C38" s="121"/>
      <c r="D38" s="121"/>
      <c r="E38" s="121"/>
    </row>
    <row r="39" spans="1:5" x14ac:dyDescent="0.3">
      <c r="A39" s="65" t="s">
        <v>98</v>
      </c>
      <c r="B39" s="67">
        <f>MODEL!B20</f>
        <v>11371.036666666669</v>
      </c>
    </row>
    <row r="40" spans="1:5" ht="18" x14ac:dyDescent="0.35">
      <c r="A40" s="65" t="s">
        <v>99</v>
      </c>
      <c r="B40" s="68">
        <f>MODEL!B36</f>
        <v>12874.052000000001</v>
      </c>
    </row>
    <row r="41" spans="1:5" x14ac:dyDescent="0.3">
      <c r="A41" s="65" t="s">
        <v>100</v>
      </c>
      <c r="B41" s="67">
        <f>B40-B39</f>
        <v>1503.0153333333328</v>
      </c>
    </row>
    <row r="42" spans="1:5" x14ac:dyDescent="0.3">
      <c r="A42" s="65" t="s">
        <v>101</v>
      </c>
      <c r="B42" s="69">
        <f>B41/B39</f>
        <v>0.13217927066749405</v>
      </c>
    </row>
  </sheetData>
  <mergeCells count="6">
    <mergeCell ref="A38:E38"/>
    <mergeCell ref="A1:G1"/>
    <mergeCell ref="A19:D19"/>
    <mergeCell ref="A12:D12"/>
    <mergeCell ref="A26:E26"/>
    <mergeCell ref="A32:E3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53788604742F46B1CDB04B4E008C49" ma:contentTypeVersion="4" ma:contentTypeDescription="Create a new document." ma:contentTypeScope="" ma:versionID="b8d6141686838b495d829b8e35021cc9">
  <xsd:schema xmlns:xsd="http://www.w3.org/2001/XMLSchema" xmlns:xs="http://www.w3.org/2001/XMLSchema" xmlns:p="http://schemas.microsoft.com/office/2006/metadata/properties" xmlns:ns2="5271cd48-b41b-4ea7-b6e8-3a6e355d1c3e" targetNamespace="http://schemas.microsoft.com/office/2006/metadata/properties" ma:root="true" ma:fieldsID="72ce4388c5788e16c53f33c4247b34b5" ns2:_="">
    <xsd:import namespace="5271cd48-b41b-4ea7-b6e8-3a6e355d1c3e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71cd48-b41b-4ea7-b6e8-3a6e355d1c3e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5271cd48-b41b-4ea7-b6e8-3a6e355d1c3e" xsi:nil="true"/>
  </documentManagement>
</p:properties>
</file>

<file path=customXml/itemProps1.xml><?xml version="1.0" encoding="utf-8"?>
<ds:datastoreItem xmlns:ds="http://schemas.openxmlformats.org/officeDocument/2006/customXml" ds:itemID="{7EFB6499-FF3F-4E4E-BE39-7B91207C8FB2}"/>
</file>

<file path=customXml/itemProps2.xml><?xml version="1.0" encoding="utf-8"?>
<ds:datastoreItem xmlns:ds="http://schemas.openxmlformats.org/officeDocument/2006/customXml" ds:itemID="{87618068-6250-4B7C-A4A9-14FA92941F5D}"/>
</file>

<file path=customXml/itemProps3.xml><?xml version="1.0" encoding="utf-8"?>
<ds:datastoreItem xmlns:ds="http://schemas.openxmlformats.org/officeDocument/2006/customXml" ds:itemID="{D536E08D-38BC-4373-8725-42E67207920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README</vt:lpstr>
      <vt:lpstr>DATA</vt:lpstr>
      <vt:lpstr>MODEL</vt:lpstr>
      <vt:lpstr>INTERFACE</vt:lpstr>
      <vt:lpstr>SCENARIOS</vt:lpstr>
      <vt:lpstr>RESULTS</vt:lpstr>
      <vt:lpstr>FE</vt:lpstr>
      <vt:lpstr>FL</vt:lpstr>
      <vt:lpstr>M</vt:lpstr>
      <vt:lpstr>O</vt:lpstr>
      <vt:lpstr>Pf</vt:lpstr>
      <vt:lpstr>Q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Abdalkarim M.S. Alaraj(aalaraj@student.ius.edu.ba)</dc:creator>
  <cp:lastModifiedBy>Abdalkarim M.S. Alaraj(aalaraj@student.ius.edu.ba)</cp:lastModifiedBy>
  <dcterms:created xsi:type="dcterms:W3CDTF">2026-06-04T18:13:45Z</dcterms:created>
  <dcterms:modified xsi:type="dcterms:W3CDTF">2026-06-07T21:52:27Z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0x010100F553788604742F46B1CDB04B4E008C49</vt:lpwstr>
  </property>
</Properties>
</file>